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brah\OneDrive\Professional Development\Proyectos\Programacion\VBA\Presupuesto\"/>
    </mc:Choice>
  </mc:AlternateContent>
  <xr:revisionPtr revIDLastSave="0" documentId="13_ncr:1_{E1877782-915D-47A5-B8F0-C05E3B8FFD49}" xr6:coauthVersionLast="45" xr6:coauthVersionMax="45" xr10:uidLastSave="{00000000-0000-0000-0000-000000000000}"/>
  <bookViews>
    <workbookView xWindow="-120" yWindow="-120" windowWidth="29040" windowHeight="15990" activeTab="2" xr2:uid="{CC70F55B-1884-4B6C-9808-57AB88CB6C61}"/>
  </bookViews>
  <sheets>
    <sheet name="Resumen" sheetId="5" r:id="rId1"/>
    <sheet name="Dashboard" sheetId="10" r:id="rId2"/>
    <sheet name="Data" sheetId="2" r:id="rId3"/>
    <sheet name="Pivot" sheetId="9" r:id="rId4"/>
    <sheet name="Lista" sheetId="3" r:id="rId5"/>
  </sheets>
  <functionGroups builtInGroupCount="19"/>
  <definedNames>
    <definedName name="_xlcn.WorksheetConnection_PrespuestoAbrahamMena.xlsmGasto_Detalle1" hidden="1">Gasto_Detalle[]</definedName>
    <definedName name="_xlcn.WorksheetConnection_PrespuestoAbrahamMena.xlsmIngreso_Detalle1" hidden="1">Ingreso_Detalle[]</definedName>
  </definedNames>
  <calcPr calcId="191029"/>
  <pivotCaches>
    <pivotCache cacheId="3213" r:id="rId6"/>
    <pivotCache cacheId="3217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greso_Detalle" name="Ingreso_Detalle" connection="WorksheetConnection_Prespuesto Abraham Mena.xlsm!Ingreso_Detalle"/>
          <x15:modelTable id="Gasto_Detalle" name="Gasto_Detalle" connection="WorksheetConnection_Prespuesto Abraham Mena.xlsm!Gasto_Detall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2" i="2" l="1"/>
  <c r="U2" i="2" s="1"/>
  <c r="L2" i="2"/>
  <c r="N23" i="5" l="1"/>
  <c r="M23" i="5"/>
  <c r="L23" i="5"/>
  <c r="K23" i="5"/>
  <c r="J23" i="5"/>
  <c r="I23" i="5"/>
  <c r="H23" i="5"/>
  <c r="G23" i="5"/>
  <c r="F23" i="5"/>
  <c r="E23" i="5"/>
  <c r="D23" i="5"/>
  <c r="C23" i="5"/>
  <c r="N20" i="5"/>
  <c r="M20" i="5"/>
  <c r="L20" i="5"/>
  <c r="K20" i="5"/>
  <c r="J20" i="5"/>
  <c r="I20" i="5"/>
  <c r="H20" i="5"/>
  <c r="G20" i="5"/>
  <c r="F20" i="5"/>
  <c r="E20" i="5"/>
  <c r="D20" i="5"/>
  <c r="C20" i="5"/>
  <c r="N17" i="5"/>
  <c r="M17" i="5"/>
  <c r="L17" i="5"/>
  <c r="K17" i="5"/>
  <c r="J17" i="5"/>
  <c r="I17" i="5"/>
  <c r="H17" i="5"/>
  <c r="G17" i="5"/>
  <c r="F17" i="5"/>
  <c r="E17" i="5"/>
  <c r="D17" i="5"/>
  <c r="C17" i="5"/>
  <c r="N16" i="5"/>
  <c r="M16" i="5"/>
  <c r="L16" i="5"/>
  <c r="K16" i="5"/>
  <c r="J16" i="5"/>
  <c r="I16" i="5"/>
  <c r="H16" i="5"/>
  <c r="G16" i="5"/>
  <c r="F16" i="5"/>
  <c r="E16" i="5"/>
  <c r="D16" i="5"/>
  <c r="C16" i="5"/>
  <c r="N13" i="5"/>
  <c r="M13" i="5"/>
  <c r="L13" i="5"/>
  <c r="K13" i="5"/>
  <c r="J13" i="5"/>
  <c r="I13" i="5"/>
  <c r="H13" i="5"/>
  <c r="G13" i="5"/>
  <c r="F13" i="5"/>
  <c r="E13" i="5"/>
  <c r="D13" i="5"/>
  <c r="C13" i="5"/>
  <c r="N10" i="5"/>
  <c r="M10" i="5"/>
  <c r="L10" i="5"/>
  <c r="K10" i="5"/>
  <c r="J10" i="5"/>
  <c r="I10" i="5"/>
  <c r="H10" i="5"/>
  <c r="G10" i="5"/>
  <c r="F10" i="5"/>
  <c r="E10" i="5"/>
  <c r="D10" i="5"/>
  <c r="C10" i="5"/>
  <c r="N8" i="5"/>
  <c r="M8" i="5"/>
  <c r="L8" i="5"/>
  <c r="K8" i="5"/>
  <c r="J8" i="5"/>
  <c r="I8" i="5"/>
  <c r="H8" i="5"/>
  <c r="G8" i="5"/>
  <c r="F8" i="5"/>
  <c r="E8" i="5"/>
  <c r="D8" i="5"/>
  <c r="C8" i="5"/>
  <c r="J2" i="2" l="1"/>
  <c r="J7" i="2"/>
  <c r="J6" i="2"/>
  <c r="J5" i="2"/>
  <c r="J4" i="2"/>
  <c r="J3" i="2"/>
  <c r="A3" i="2" l="1"/>
  <c r="J18" i="5" l="1"/>
  <c r="I18" i="5"/>
  <c r="H18" i="5"/>
  <c r="G18" i="5"/>
  <c r="N18" i="5"/>
  <c r="F18" i="5"/>
  <c r="M18" i="5"/>
  <c r="E18" i="5"/>
  <c r="L18" i="5"/>
  <c r="D18" i="5"/>
  <c r="K18" i="5"/>
  <c r="C18" i="5"/>
  <c r="A6" i="2"/>
  <c r="J25" i="5" l="1"/>
  <c r="I25" i="5"/>
  <c r="H25" i="5"/>
  <c r="G25" i="5"/>
  <c r="N25" i="5"/>
  <c r="F25" i="5"/>
  <c r="M25" i="5"/>
  <c r="E25" i="5"/>
  <c r="L25" i="5"/>
  <c r="D25" i="5"/>
  <c r="K25" i="5"/>
  <c r="C25" i="5"/>
  <c r="A7" i="2"/>
  <c r="A2" i="2"/>
  <c r="A5" i="2"/>
  <c r="G34" i="5"/>
  <c r="A4" i="2"/>
  <c r="M5" i="3"/>
  <c r="N14" i="5" l="1"/>
  <c r="F14" i="5"/>
  <c r="D14" i="5"/>
  <c r="M14" i="5"/>
  <c r="E14" i="5"/>
  <c r="L14" i="5"/>
  <c r="K14" i="5"/>
  <c r="C14" i="5"/>
  <c r="J14" i="5"/>
  <c r="I14" i="5"/>
  <c r="H14" i="5"/>
  <c r="G14" i="5"/>
  <c r="N29" i="5"/>
  <c r="L31" i="5"/>
  <c r="I30" i="5"/>
  <c r="F29" i="5"/>
  <c r="D31" i="5"/>
  <c r="J22" i="5"/>
  <c r="N30" i="5"/>
  <c r="K29" i="5"/>
  <c r="I31" i="5"/>
  <c r="F30" i="5"/>
  <c r="C29" i="5"/>
  <c r="I22" i="5"/>
  <c r="N31" i="5"/>
  <c r="K30" i="5"/>
  <c r="H29" i="5"/>
  <c r="F31" i="5"/>
  <c r="C30" i="5"/>
  <c r="H22" i="5"/>
  <c r="M29" i="5"/>
  <c r="K31" i="5"/>
  <c r="H30" i="5"/>
  <c r="E29" i="5"/>
  <c r="C31" i="5"/>
  <c r="G22" i="5"/>
  <c r="M30" i="5"/>
  <c r="J29" i="5"/>
  <c r="H31" i="5"/>
  <c r="E30" i="5"/>
  <c r="N22" i="5"/>
  <c r="F22" i="5"/>
  <c r="M31" i="5"/>
  <c r="J30" i="5"/>
  <c r="G29" i="5"/>
  <c r="E31" i="5"/>
  <c r="M22" i="5"/>
  <c r="E22" i="5"/>
  <c r="L29" i="5"/>
  <c r="J31" i="5"/>
  <c r="G30" i="5"/>
  <c r="D29" i="5"/>
  <c r="L22" i="5"/>
  <c r="D22" i="5"/>
  <c r="L30" i="5"/>
  <c r="I29" i="5"/>
  <c r="G31" i="5"/>
  <c r="D30" i="5"/>
  <c r="K22" i="5"/>
  <c r="C22" i="5"/>
  <c r="E6" i="5"/>
  <c r="C6" i="5"/>
  <c r="I6" i="5"/>
  <c r="D6" i="5"/>
  <c r="E35" i="5"/>
  <c r="E36" i="5"/>
  <c r="I5" i="5"/>
  <c r="D34" i="5"/>
  <c r="D35" i="5"/>
  <c r="E5" i="5"/>
  <c r="D36" i="5"/>
  <c r="D5" i="5"/>
  <c r="C34" i="5"/>
  <c r="K35" i="5"/>
  <c r="H34" i="5"/>
  <c r="C35" i="5"/>
  <c r="E34" i="5"/>
  <c r="C36" i="5"/>
  <c r="C5" i="5"/>
  <c r="Y4" i="2"/>
  <c r="Y3" i="2"/>
  <c r="Y2" i="2"/>
  <c r="Z7" i="2"/>
  <c r="Z8" i="2"/>
  <c r="Z9" i="2"/>
  <c r="Z2" i="2"/>
  <c r="Z10" i="2"/>
  <c r="Z3" i="2"/>
  <c r="Z11" i="2"/>
  <c r="Z4" i="2"/>
  <c r="Z12" i="2"/>
  <c r="Z5" i="2"/>
  <c r="Z13" i="2"/>
  <c r="Z6" i="2"/>
  <c r="H36" i="5"/>
  <c r="H39" i="5" s="1"/>
  <c r="G6" i="5"/>
  <c r="L6" i="5"/>
  <c r="K36" i="5"/>
  <c r="J6" i="5"/>
  <c r="M35" i="5"/>
  <c r="F34" i="5"/>
  <c r="N5" i="5"/>
  <c r="M6" i="5"/>
  <c r="I34" i="5"/>
  <c r="H6" i="5"/>
  <c r="L5" i="5"/>
  <c r="K6" i="5"/>
  <c r="G36" i="5"/>
  <c r="F6" i="5"/>
  <c r="N6" i="5"/>
  <c r="J34" i="5"/>
  <c r="C39" i="5" l="1"/>
  <c r="E39" i="5"/>
  <c r="D39" i="5"/>
  <c r="G39" i="5"/>
  <c r="K39" i="5"/>
  <c r="K34" i="5"/>
  <c r="I35" i="5"/>
  <c r="L35" i="5"/>
  <c r="K5" i="5"/>
  <c r="F36" i="5"/>
  <c r="F39" i="5" s="1"/>
  <c r="N35" i="5"/>
  <c r="L36" i="5"/>
  <c r="L39" i="5" s="1"/>
  <c r="J35" i="5"/>
  <c r="N34" i="5"/>
  <c r="G35" i="5"/>
  <c r="M36" i="5"/>
  <c r="M39" i="5" s="1"/>
  <c r="J36" i="5"/>
  <c r="J39" i="5" s="1"/>
  <c r="J5" i="5"/>
  <c r="M5" i="5"/>
  <c r="H35" i="5"/>
  <c r="N36" i="5"/>
  <c r="N39" i="5" s="1"/>
  <c r="F5" i="5"/>
  <c r="G5" i="5"/>
  <c r="L34" i="5"/>
  <c r="H5" i="5"/>
  <c r="M34" i="5"/>
  <c r="F35" i="5"/>
  <c r="I36" i="5"/>
  <c r="I39" i="5" s="1"/>
  <c r="AA4" i="2"/>
  <c r="Y9" i="2"/>
  <c r="AA9" i="2" s="1"/>
  <c r="AA2" i="2"/>
  <c r="AA3" i="2"/>
  <c r="Y11" i="2"/>
  <c r="AA11" i="2" s="1"/>
  <c r="Y10" i="2"/>
  <c r="AA10" i="2" s="1"/>
  <c r="Y5" i="2"/>
  <c r="AA5" i="2" s="1"/>
  <c r="Y13" i="2"/>
  <c r="AA13" i="2" s="1"/>
  <c r="Y6" i="2"/>
  <c r="AA6" i="2" s="1"/>
  <c r="Y12" i="2"/>
  <c r="AA12" i="2" s="1"/>
  <c r="Y7" i="2"/>
  <c r="AA7" i="2" s="1"/>
  <c r="Y8" i="2"/>
  <c r="AA8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6EB2DC-4E88-4BB6-B44C-7182FA41AA8B}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CE834BF-6777-4B2D-BDB7-F29AD7D0C84D}" name="WorksheetConnection_Prespuesto Abraham Mena.xlsm!Gasto_Detalle" type="102" refreshedVersion="6" minRefreshableVersion="5">
    <extLst>
      <ext xmlns:x15="http://schemas.microsoft.com/office/spreadsheetml/2010/11/main" uri="{DE250136-89BD-433C-8126-D09CA5730AF9}">
        <x15:connection id="Gasto_Detalle" autoDelete="1">
          <x15:rangePr sourceName="_xlcn.WorksheetConnection_PrespuestoAbrahamMena.xlsmGasto_Detalle1"/>
        </x15:connection>
      </ext>
    </extLst>
  </connection>
  <connection id="3" xr16:uid="{279419B5-2E12-424C-9611-361175412A48}" name="WorksheetConnection_Prespuesto Abraham Mena.xlsm!Ingreso_Detalle" type="102" refreshedVersion="6" minRefreshableVersion="5">
    <extLst>
      <ext xmlns:x15="http://schemas.microsoft.com/office/spreadsheetml/2010/11/main" uri="{DE250136-89BD-433C-8126-D09CA5730AF9}">
        <x15:connection id="Ingreso_Detalle">
          <x15:rangePr sourceName="_xlcn.WorksheetConnection_PrespuestoAbrahamMena.xlsmIngreso_Detalle1"/>
        </x15:connection>
      </ext>
    </extLst>
  </connection>
</connections>
</file>

<file path=xl/sharedStrings.xml><?xml version="1.0" encoding="utf-8"?>
<sst xmlns="http://schemas.openxmlformats.org/spreadsheetml/2006/main" count="213" uniqueCount="80">
  <si>
    <t>Abril</t>
  </si>
  <si>
    <t>Mayo</t>
  </si>
  <si>
    <t>Junio</t>
  </si>
  <si>
    <t>Julio</t>
  </si>
  <si>
    <t>Agosto</t>
  </si>
  <si>
    <t>Septiembre</t>
  </si>
  <si>
    <t>Octubre</t>
  </si>
  <si>
    <t>Diciembre</t>
  </si>
  <si>
    <t>Noviembre</t>
  </si>
  <si>
    <t>Subscripciones</t>
  </si>
  <si>
    <t>Spotify</t>
  </si>
  <si>
    <t>Casa</t>
  </si>
  <si>
    <t>Doris</t>
  </si>
  <si>
    <t>Tigo</t>
  </si>
  <si>
    <t>Balance</t>
  </si>
  <si>
    <t>Bono</t>
  </si>
  <si>
    <t>Otros</t>
  </si>
  <si>
    <t>Diezmo</t>
  </si>
  <si>
    <t>Quincena 2</t>
  </si>
  <si>
    <t>Supermercado</t>
  </si>
  <si>
    <t>Entretenimiento</t>
  </si>
  <si>
    <t>Mes</t>
  </si>
  <si>
    <t>Categoria</t>
  </si>
  <si>
    <t>Descripcion</t>
  </si>
  <si>
    <t>Total</t>
  </si>
  <si>
    <t>Fecha</t>
  </si>
  <si>
    <t>Lugar</t>
  </si>
  <si>
    <t>Subcategoria</t>
  </si>
  <si>
    <t>Cine</t>
  </si>
  <si>
    <t>Servicios de Hogar</t>
  </si>
  <si>
    <t>Microsoft 365</t>
  </si>
  <si>
    <t>Comer Afuera</t>
  </si>
  <si>
    <t>Gasto compartido con mi papa. El puso 10 y yo 15.</t>
  </si>
  <si>
    <t>Diezmo 1 de 2</t>
  </si>
  <si>
    <t>Concepto</t>
  </si>
  <si>
    <t>Salario</t>
  </si>
  <si>
    <t>Quincena 1</t>
  </si>
  <si>
    <t>Bono asistencia</t>
  </si>
  <si>
    <t>Gasto</t>
  </si>
  <si>
    <t>Ingreso</t>
  </si>
  <si>
    <t>Porcentaje</t>
  </si>
  <si>
    <t>AFP</t>
  </si>
  <si>
    <t>Descuento</t>
  </si>
  <si>
    <t>Impuesto sobre la Renta</t>
  </si>
  <si>
    <t>ISSS</t>
  </si>
  <si>
    <t>Descuentos</t>
  </si>
  <si>
    <t>Total Neto</t>
  </si>
  <si>
    <t>Enero</t>
  </si>
  <si>
    <t>Febrero</t>
  </si>
  <si>
    <t>Marzo</t>
  </si>
  <si>
    <t>Pago dinero prestado</t>
  </si>
  <si>
    <t>Recurrente</t>
  </si>
  <si>
    <t>Total Gastos No Recurrentes</t>
  </si>
  <si>
    <t>Total Gastos</t>
  </si>
  <si>
    <t>Total Gastos Recurrentes</t>
  </si>
  <si>
    <t>Etiquetas de fila</t>
  </si>
  <si>
    <t>Total general</t>
  </si>
  <si>
    <t>Suma de Total</t>
  </si>
  <si>
    <t>Transporte</t>
  </si>
  <si>
    <t>Gasolina</t>
  </si>
  <si>
    <t>Total Ingresos Recurrentes</t>
  </si>
  <si>
    <t>Total Ingresos No Recurrentes</t>
  </si>
  <si>
    <t>Total Ingresos</t>
  </si>
  <si>
    <t>Total Ingreso</t>
  </si>
  <si>
    <t>Suma de Total Gastos</t>
  </si>
  <si>
    <t>Suma de Total Ingreso</t>
  </si>
  <si>
    <t>Suma de Balance</t>
  </si>
  <si>
    <t>Miscelaneos</t>
  </si>
  <si>
    <t>Presupuesto</t>
  </si>
  <si>
    <t>Promedio de Presupuesto</t>
  </si>
  <si>
    <t>(Varios elementos)</t>
  </si>
  <si>
    <t>n Gastos</t>
  </si>
  <si>
    <t>n Ingresos</t>
  </si>
  <si>
    <t>Trabajo</t>
  </si>
  <si>
    <t>Compañía Telefonica</t>
  </si>
  <si>
    <t>Pasteleria</t>
  </si>
  <si>
    <t>Pupuseria</t>
  </si>
  <si>
    <t>Comida Rapida</t>
  </si>
  <si>
    <t>Iglesia</t>
  </si>
  <si>
    <t>enero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</si>
</sst>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7" formatCode="&quot;$&quot;#,##0.00;\-&quot;$&quot;#,##0.00"/>
    <numFmt numFmtId="164" formatCode="_(&quot;$&quot;* #,##0.00_);_(&quot;$&quot;* \(#,##0.00\);_(&quot;$&quot;* &quot;-&quot;??_);_(@_)"/>
    <numFmt numFmtId="165" formatCode="dd/mm/yyyy;@"/>
    <numFmt numFmtId="166" formatCode="mm\-dd\-yyyy;@"/>
    <numFmt numFmtId="167" formatCode="&quot;$&quot;###,###.00"/>
    <numFmt numFmtId="169" formatCode="dd/mm/yy;@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.5"/>
      <color rgb="FFFFFFFF"/>
      <name val="Calibri"/>
      <family val="2"/>
      <scheme val="minor"/>
    </font>
    <font>
      <b/>
      <sz val="12.5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61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C4000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4">
    <xf numFmtId="0" fontId="0" fillId="0" borderId="0" xfId="0"/>
    <xf numFmtId="164" fontId="0" fillId="0" borderId="0" xfId="1" applyFont="1"/>
    <xf numFmtId="14" fontId="0" fillId="0" borderId="0" xfId="0" applyNumberFormat="1"/>
    <xf numFmtId="7" fontId="0" fillId="0" borderId="0" xfId="0" applyNumberFormat="1"/>
    <xf numFmtId="0" fontId="0" fillId="0" borderId="0" xfId="0" applyNumberFormat="1"/>
    <xf numFmtId="165" fontId="0" fillId="0" borderId="0" xfId="0" applyNumberFormat="1"/>
    <xf numFmtId="166" fontId="0" fillId="0" borderId="0" xfId="0" applyNumberFormat="1"/>
    <xf numFmtId="10" fontId="0" fillId="0" borderId="0" xfId="2" applyNumberFormat="1" applyFont="1"/>
    <xf numFmtId="10" fontId="0" fillId="0" borderId="0" xfId="0" applyNumberFormat="1"/>
    <xf numFmtId="167" fontId="0" fillId="0" borderId="0" xfId="0" applyNumberFormat="1"/>
    <xf numFmtId="1" fontId="0" fillId="0" borderId="0" xfId="0" applyNumberFormat="1"/>
    <xf numFmtId="167" fontId="0" fillId="0" borderId="1" xfId="0" applyNumberFormat="1" applyFont="1" applyBorder="1"/>
    <xf numFmtId="167" fontId="0" fillId="0" borderId="2" xfId="0" applyNumberFormat="1" applyFont="1" applyBorder="1"/>
    <xf numFmtId="167" fontId="0" fillId="2" borderId="3" xfId="0" applyNumberFormat="1" applyFont="1" applyFill="1" applyBorder="1"/>
    <xf numFmtId="167" fontId="0" fillId="2" borderId="4" xfId="0" applyNumberFormat="1" applyFont="1" applyFill="1" applyBorder="1"/>
    <xf numFmtId="167" fontId="0" fillId="0" borderId="3" xfId="0" applyNumberFormat="1" applyFont="1" applyBorder="1"/>
    <xf numFmtId="167" fontId="0" fillId="0" borderId="4" xfId="0" applyNumberFormat="1" applyFont="1" applyBorder="1"/>
    <xf numFmtId="167" fontId="4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67" fontId="0" fillId="2" borderId="6" xfId="0" applyNumberFormat="1" applyFont="1" applyFill="1" applyBorder="1"/>
    <xf numFmtId="167" fontId="0" fillId="2" borderId="5" xfId="0" applyNumberFormat="1" applyFont="1" applyFill="1" applyBorder="1"/>
    <xf numFmtId="0" fontId="0" fillId="8" borderId="0" xfId="0" applyFill="1"/>
    <xf numFmtId="0" fontId="5" fillId="0" borderId="0" xfId="0" applyFont="1" applyAlignment="1">
      <alignment horizontal="center" vertical="center"/>
    </xf>
    <xf numFmtId="0" fontId="0" fillId="7" borderId="0" xfId="0" applyFill="1"/>
    <xf numFmtId="167" fontId="0" fillId="6" borderId="1" xfId="0" applyNumberFormat="1" applyFont="1" applyFill="1" applyBorder="1"/>
    <xf numFmtId="167" fontId="0" fillId="6" borderId="2" xfId="0" applyNumberFormat="1" applyFont="1" applyFill="1" applyBorder="1"/>
    <xf numFmtId="0" fontId="3" fillId="4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69" fontId="0" fillId="0" borderId="0" xfId="0" applyNumberFormat="1"/>
  </cellXfs>
  <cellStyles count="3">
    <cellStyle name="Moneda" xfId="1" builtinId="4"/>
    <cellStyle name="Normal" xfId="0" builtinId="0"/>
    <cellStyle name="Porcentaje" xfId="2" builtinId="5"/>
  </cellStyles>
  <dxfs count="95">
    <dxf>
      <numFmt numFmtId="169" formatCode="dd/mm/yy;@"/>
    </dxf>
    <dxf>
      <numFmt numFmtId="14" formatCode="0.00%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11" formatCode="&quot;$&quot;#,##0.00;\-&quot;$&quot;#,##0.00"/>
    </dxf>
    <dxf>
      <numFmt numFmtId="11" formatCode="&quot;$&quot;#,##0.00;\-&quot;$&quot;#,##0.00"/>
    </dxf>
    <dxf>
      <numFmt numFmtId="0" formatCode="General"/>
    </dxf>
    <dxf>
      <numFmt numFmtId="1" formatCode="0"/>
    </dxf>
    <dxf>
      <numFmt numFmtId="1" formatCode="0"/>
    </dxf>
    <dxf>
      <numFmt numFmtId="19" formatCode="d/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6" tint="0.79998168889431442"/>
          <bgColor theme="6" tint="0.79998168889431442"/>
        </patternFill>
      </fill>
      <border diagonalUp="0" diagonalDown="0" outline="0">
        <left/>
        <right style="thin">
          <color theme="6"/>
        </right>
        <top style="thin">
          <color theme="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6" tint="0.79998168889431442"/>
          <bgColor theme="6" tint="0.79998168889431442"/>
        </patternFill>
      </fill>
      <border diagonalUp="0" diagonalDown="0" outline="0">
        <left/>
        <right style="thin">
          <color theme="6"/>
        </right>
        <top style="thin">
          <color theme="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6" tint="0.79998168889431442"/>
          <bgColor theme="6" tint="0.79998168889431442"/>
        </patternFill>
      </fill>
      <border diagonalUp="0" diagonalDown="0" outline="0">
        <left/>
        <right style="thin">
          <color theme="6"/>
        </right>
        <top style="thin">
          <color theme="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6" tint="0.79998168889431442"/>
          <bgColor theme="6" tint="0.79998168889431442"/>
        </patternFill>
      </fill>
      <border diagonalUp="0" diagonalDown="0" outline="0">
        <left/>
        <right style="thin">
          <color theme="6"/>
        </right>
        <top style="thin">
          <color theme="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6" tint="0.79998168889431442"/>
          <bgColor theme="6" tint="0.79998168889431442"/>
        </patternFill>
      </fill>
      <border diagonalUp="0" diagonalDown="0" outline="0">
        <left/>
        <right style="thin">
          <color theme="6"/>
        </right>
        <top style="thin">
          <color theme="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6" tint="0.79998168889431442"/>
          <bgColor theme="6" tint="0.79998168889431442"/>
        </patternFill>
      </fill>
      <border diagonalUp="0" diagonalDown="0" outline="0">
        <left/>
        <right style="thin">
          <color theme="6"/>
        </right>
        <top style="thin">
          <color theme="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6" tint="0.79998168889431442"/>
          <bgColor theme="6" tint="0.79998168889431442"/>
        </patternFill>
      </fill>
      <border diagonalUp="0" diagonalDown="0" outline="0">
        <left/>
        <right style="thin">
          <color theme="6"/>
        </right>
        <top style="thin">
          <color theme="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6" tint="0.79998168889431442"/>
          <bgColor theme="6" tint="0.79998168889431442"/>
        </patternFill>
      </fill>
      <border diagonalUp="0" diagonalDown="0" outline="0">
        <left/>
        <right style="thin">
          <color theme="6"/>
        </right>
        <top style="thin">
          <color theme="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6" tint="0.79998168889431442"/>
          <bgColor theme="6" tint="0.79998168889431442"/>
        </patternFill>
      </fill>
      <border diagonalUp="0" diagonalDown="0" outline="0">
        <left/>
        <right style="thin">
          <color theme="6"/>
        </right>
        <top style="thin">
          <color theme="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6" tint="0.79998168889431442"/>
          <bgColor theme="6" tint="0.79998168889431442"/>
        </patternFill>
      </fill>
      <border diagonalUp="0" diagonalDown="0" outline="0">
        <left/>
        <right style="thin">
          <color theme="6"/>
        </right>
        <top style="thin">
          <color theme="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6" tint="0.79998168889431442"/>
          <bgColor theme="6" tint="0.79998168889431442"/>
        </patternFill>
      </fill>
      <border diagonalUp="0" diagonalDown="0" outline="0">
        <left/>
        <right style="thin">
          <color theme="6"/>
        </right>
        <top style="thin">
          <color theme="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6" tint="0.79998168889431442"/>
          <bgColor theme="6" tint="0.79998168889431442"/>
        </patternFill>
      </fill>
      <border diagonalUp="0" diagonalDown="0" outline="0">
        <left style="thin">
          <color theme="6"/>
        </left>
        <right style="thin">
          <color theme="6"/>
        </right>
        <top style="thin">
          <color theme="6"/>
        </top>
        <bottom/>
      </border>
    </dxf>
    <dxf>
      <border outline="0">
        <bottom style="thin">
          <color theme="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6" tint="0.79998168889431442"/>
          <bgColor theme="6" tint="0.79998168889431442"/>
        </patternFill>
      </fill>
      <border diagonalUp="0" diagonalDown="0" outline="0">
        <left/>
        <right style="thin">
          <color theme="6"/>
        </right>
        <top style="thin">
          <color theme="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6" tint="0.79998168889431442"/>
          <bgColor theme="6" tint="0.79998168889431442"/>
        </patternFill>
      </fill>
      <border diagonalUp="0" diagonalDown="0" outline="0">
        <left/>
        <right style="thin">
          <color theme="6"/>
        </right>
        <top style="thin">
          <color theme="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6" tint="0.79998168889431442"/>
          <bgColor theme="6" tint="0.79998168889431442"/>
        </patternFill>
      </fill>
      <border diagonalUp="0" diagonalDown="0" outline="0">
        <left/>
        <right style="thin">
          <color theme="6"/>
        </right>
        <top style="thin">
          <color theme="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6" tint="0.79998168889431442"/>
          <bgColor theme="6" tint="0.79998168889431442"/>
        </patternFill>
      </fill>
      <border diagonalUp="0" diagonalDown="0" outline="0">
        <left/>
        <right style="thin">
          <color theme="6"/>
        </right>
        <top style="thin">
          <color theme="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6" tint="0.79998168889431442"/>
          <bgColor theme="6" tint="0.79998168889431442"/>
        </patternFill>
      </fill>
      <border diagonalUp="0" diagonalDown="0" outline="0">
        <left/>
        <right style="thin">
          <color theme="6"/>
        </right>
        <top style="thin">
          <color theme="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6" tint="0.79998168889431442"/>
          <bgColor theme="6" tint="0.79998168889431442"/>
        </patternFill>
      </fill>
      <border diagonalUp="0" diagonalDown="0" outline="0">
        <left/>
        <right style="thin">
          <color theme="6"/>
        </right>
        <top style="thin">
          <color theme="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6" tint="0.79998168889431442"/>
          <bgColor theme="6" tint="0.79998168889431442"/>
        </patternFill>
      </fill>
      <border diagonalUp="0" diagonalDown="0" outline="0">
        <left/>
        <right style="thin">
          <color theme="6"/>
        </right>
        <top style="thin">
          <color theme="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6" tint="0.79998168889431442"/>
          <bgColor theme="6" tint="0.79998168889431442"/>
        </patternFill>
      </fill>
      <border diagonalUp="0" diagonalDown="0" outline="0">
        <left/>
        <right style="thin">
          <color theme="6"/>
        </right>
        <top style="thin">
          <color theme="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6" tint="0.79998168889431442"/>
          <bgColor theme="6" tint="0.79998168889431442"/>
        </patternFill>
      </fill>
      <border diagonalUp="0" diagonalDown="0" outline="0">
        <left/>
        <right style="thin">
          <color theme="6"/>
        </right>
        <top style="thin">
          <color theme="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6" tint="0.79998168889431442"/>
          <bgColor theme="6" tint="0.79998168889431442"/>
        </patternFill>
      </fill>
      <border diagonalUp="0" diagonalDown="0" outline="0">
        <left/>
        <right style="thin">
          <color theme="6"/>
        </right>
        <top style="thin">
          <color theme="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6" tint="0.79998168889431442"/>
          <bgColor theme="6" tint="0.79998168889431442"/>
        </patternFill>
      </fill>
      <border diagonalUp="0" diagonalDown="0" outline="0">
        <left/>
        <right style="thin">
          <color theme="6"/>
        </right>
        <top style="thin">
          <color theme="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6" tint="0.79998168889431442"/>
          <bgColor theme="6" tint="0.79998168889431442"/>
        </patternFill>
      </fill>
      <border diagonalUp="0" diagonalDown="0" outline="0">
        <left style="thin">
          <color theme="6"/>
        </left>
        <right style="thin">
          <color theme="6"/>
        </right>
        <top style="thin">
          <color theme="6"/>
        </top>
        <bottom/>
      </border>
    </dxf>
    <dxf>
      <border outline="0">
        <bottom style="thin">
          <color theme="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6" tint="0.79998168889431442"/>
          <bgColor theme="6" tint="0.79998168889431442"/>
        </patternFill>
      </fill>
    </dxf>
    <dxf>
      <border outline="0">
        <bottom style="thin">
          <color theme="6"/>
        </bottom>
      </border>
    </dxf>
    <dxf>
      <border outline="0">
        <bottom style="thin">
          <color theme="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 style="thin">
          <color theme="9"/>
        </right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 style="thin">
          <color theme="9"/>
        </right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 style="thin">
          <color theme="9"/>
        </right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 style="thin">
          <color theme="9"/>
        </right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 style="thin">
          <color theme="9"/>
        </right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 style="thin">
          <color theme="9"/>
        </right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 style="thin">
          <color theme="9"/>
        </right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 style="thin">
          <color theme="9"/>
        </right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 style="thin">
          <color theme="9"/>
        </right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 style="thin">
          <color theme="9"/>
        </right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 style="thin">
          <color theme="9"/>
        </right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##,###.00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 style="thin">
          <color theme="9"/>
        </left>
        <right style="thin">
          <color theme="9"/>
        </right>
        <top style="thin">
          <color theme="9"/>
        </top>
        <bottom/>
      </border>
    </dxf>
    <dxf>
      <border outline="0"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</dxf>
    <dxf>
      <border outline="0">
        <bottom style="thin">
          <color theme="9"/>
        </bottom>
      </border>
    </dxf>
    <dxf>
      <font>
        <b/>
        <i val="0"/>
      </font>
    </dxf>
    <dxf>
      <fill>
        <patternFill patternType="solid">
          <bgColor rgb="FFFF5050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6" tint="0.59996337778862885"/>
        </patternFill>
      </fill>
    </dxf>
  </dxfs>
  <tableStyles count="2" defaultTableStyle="TableStyleMedium2" defaultPivotStyle="PivotStyleLight16">
    <tableStyle name="Estilo de tabla 1" pivot="0" count="1" xr9:uid="{9FF4AC91-242C-4952-8BA8-9F8A74E582CD}">
      <tableStyleElement type="wholeTable" dxfId="94"/>
    </tableStyle>
    <tableStyle name="ResumenGastos" pivot="0" count="2" xr9:uid="{30200A34-B884-4E63-BF00-CCD5BDE7F137}">
      <tableStyleElement type="wholeTable" dxfId="93"/>
      <tableStyleElement type="lastTotalCell" dxfId="92"/>
    </tableStyle>
  </tableStyles>
  <colors>
    <mruColors>
      <color rgb="FFFF5050"/>
      <color rgb="FF7086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[Prespuesto Abraham Mena - copia.xlsm]Pivot!TablaDinámica3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Flujo de Caja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>
              <a:lumMod val="50000"/>
              <a:alpha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>
              <a:alpha val="50000"/>
            </a:srgb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078948052285544"/>
          <c:y val="0.15921998639059007"/>
          <c:w val="0.85290688911410817"/>
          <c:h val="0.810347817633906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Suma de Total Ingreso</c:v>
                </c:pt>
              </c:strCache>
            </c:strRef>
          </c:tx>
          <c:spPr>
            <a:solidFill>
              <a:schemeClr val="accent6">
                <a:lumMod val="50000"/>
                <a:alpha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Pivot!$K$4:$K$15</c:f>
              <c:strCache>
                <c:ptCount val="11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  <c:pt idx="3">
                  <c:v>Mayo</c:v>
                </c:pt>
                <c:pt idx="4">
                  <c:v>Junio</c:v>
                </c:pt>
                <c:pt idx="5">
                  <c:v>Julio</c:v>
                </c:pt>
                <c:pt idx="6">
                  <c:v>Agosto</c:v>
                </c:pt>
                <c:pt idx="7">
                  <c:v>Septiembre</c:v>
                </c:pt>
                <c:pt idx="8">
                  <c:v>Octubre</c:v>
                </c:pt>
                <c:pt idx="9">
                  <c:v>Noviembre</c:v>
                </c:pt>
                <c:pt idx="10">
                  <c:v>Diciembre</c:v>
                </c:pt>
              </c:strCache>
            </c:strRef>
          </c:cat>
          <c:val>
            <c:numRef>
              <c:f>Pivot!$L$4:$L$15</c:f>
              <c:numCache>
                <c:formatCode>_("$"* #,##0.00_);_("$"* \(#,##0.00\);_("$"* "-"??_);_(@_)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4B-4A21-BFAD-C9144839820F}"/>
            </c:ext>
          </c:extLst>
        </c:ser>
        <c:ser>
          <c:idx val="1"/>
          <c:order val="1"/>
          <c:tx>
            <c:strRef>
              <c:f>Pivot!$M$3</c:f>
              <c:strCache>
                <c:ptCount val="1"/>
                <c:pt idx="0">
                  <c:v>Suma de Total Gastos</c:v>
                </c:pt>
              </c:strCache>
            </c:strRef>
          </c:tx>
          <c:spPr>
            <a:solidFill>
              <a:srgbClr val="FF0000">
                <a:alpha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Pivot!$K$4:$K$15</c:f>
              <c:strCache>
                <c:ptCount val="11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  <c:pt idx="3">
                  <c:v>Mayo</c:v>
                </c:pt>
                <c:pt idx="4">
                  <c:v>Junio</c:v>
                </c:pt>
                <c:pt idx="5">
                  <c:v>Julio</c:v>
                </c:pt>
                <c:pt idx="6">
                  <c:v>Agosto</c:v>
                </c:pt>
                <c:pt idx="7">
                  <c:v>Septiembre</c:v>
                </c:pt>
                <c:pt idx="8">
                  <c:v>Octubre</c:v>
                </c:pt>
                <c:pt idx="9">
                  <c:v>Noviembre</c:v>
                </c:pt>
                <c:pt idx="10">
                  <c:v>Diciembre</c:v>
                </c:pt>
              </c:strCache>
            </c:strRef>
          </c:cat>
          <c:val>
            <c:numRef>
              <c:f>Pivot!$M$4:$M$15</c:f>
              <c:numCache>
                <c:formatCode>_("$"* #,##0.00_);_("$"* \(#,##0.00\);_("$"* "-"??_);_(@_)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4B-4A21-BFAD-C9144839820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100"/>
        <c:axId val="2063564703"/>
        <c:axId val="2059878415"/>
      </c:barChart>
      <c:lineChart>
        <c:grouping val="stacked"/>
        <c:varyColors val="0"/>
        <c:ser>
          <c:idx val="2"/>
          <c:order val="2"/>
          <c:tx>
            <c:strRef>
              <c:f>Pivot!$N$3</c:f>
              <c:strCache>
                <c:ptCount val="1"/>
                <c:pt idx="0">
                  <c:v>Suma de Balance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Pivot!$K$4:$K$15</c:f>
              <c:strCache>
                <c:ptCount val="11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  <c:pt idx="3">
                  <c:v>Mayo</c:v>
                </c:pt>
                <c:pt idx="4">
                  <c:v>Junio</c:v>
                </c:pt>
                <c:pt idx="5">
                  <c:v>Julio</c:v>
                </c:pt>
                <c:pt idx="6">
                  <c:v>Agosto</c:v>
                </c:pt>
                <c:pt idx="7">
                  <c:v>Septiembre</c:v>
                </c:pt>
                <c:pt idx="8">
                  <c:v>Octubre</c:v>
                </c:pt>
                <c:pt idx="9">
                  <c:v>Noviembre</c:v>
                </c:pt>
                <c:pt idx="10">
                  <c:v>Diciembre</c:v>
                </c:pt>
              </c:strCache>
            </c:strRef>
          </c:cat>
          <c:val>
            <c:numRef>
              <c:f>Pivot!$N$4:$N$15</c:f>
              <c:numCache>
                <c:formatCode>_("$"* #,##0.00_);_("$"* \(#,##0.00\);_("$"* "-"??_);_(@_)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84B-4A21-BFAD-C9144839820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3564703"/>
        <c:axId val="2059878415"/>
      </c:lineChart>
      <c:catAx>
        <c:axId val="2063564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78415"/>
        <c:crosses val="autoZero"/>
        <c:auto val="1"/>
        <c:lblAlgn val="ctr"/>
        <c:lblOffset val="100"/>
        <c:noMultiLvlLbl val="0"/>
      </c:catAx>
      <c:valAx>
        <c:axId val="2059878415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564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50000"/>
      </a:schemeClr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1400" b="1"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[Prespuesto Abraham Mena - copia.xlsm]Pivot!TablaDinámica5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Metas Presupuestarias</a:t>
            </a:r>
            <a:r>
              <a:rPr lang="en-US" sz="1600" baseline="0"/>
              <a:t> 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noFill/>
          <a:ln>
            <a:noFill/>
          </a:ln>
          <a:effectLst>
            <a:outerShdw dist="38100" algn="tl" rotWithShape="0">
              <a:prstClr val="black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>
            <a:noFill/>
          </a:ln>
          <a:effectLst>
            <a:outerShdw dist="38100" algn="tl" rotWithShape="0">
              <a:prstClr val="black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alpha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noFill/>
          <a:ln>
            <a:noFill/>
          </a:ln>
          <a:effectLst>
            <a:outerShdw dist="38100" algn="tl" rotWithShape="0">
              <a:prstClr val="black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noFill/>
          <a:ln>
            <a:noFill/>
          </a:ln>
          <a:effectLst>
            <a:outerShdw dist="38100" algn="tl" rotWithShape="0">
              <a:prstClr val="black"/>
            </a:outerShdw>
          </a:effectLst>
        </c:spPr>
      </c:pivotFmt>
      <c:pivotFmt>
        <c:idx val="7"/>
      </c:pivotFmt>
      <c:pivotFmt>
        <c:idx val="8"/>
        <c:spPr>
          <a:noFill/>
          <a:ln>
            <a:noFill/>
          </a:ln>
          <a:effectLst>
            <a:outerShdw dist="38100" algn="tl" rotWithShape="0">
              <a:prstClr val="black"/>
            </a:outerShdw>
          </a:effectLst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Pivot!$E$15</c:f>
              <c:strCache>
                <c:ptCount val="1"/>
                <c:pt idx="0">
                  <c:v>Promedio de Presupuesto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tl" rotWithShape="0">
                <a:prstClr val="black"/>
              </a:outerShdw>
            </a:effectLst>
          </c:spPr>
          <c:invertIfNegative val="0"/>
          <c:cat>
            <c:strRef>
              <c:f>Pivot!$D$16:$D$19</c:f>
              <c:strCache>
                <c:ptCount val="3"/>
                <c:pt idx="0">
                  <c:v>Diezmo</c:v>
                </c:pt>
                <c:pt idx="1">
                  <c:v>Comer Afuera</c:v>
                </c:pt>
                <c:pt idx="2">
                  <c:v>Tigo</c:v>
                </c:pt>
              </c:strCache>
            </c:strRef>
          </c:cat>
          <c:val>
            <c:numRef>
              <c:f>Pivot!$E$16:$E$19</c:f>
              <c:numCache>
                <c:formatCode>_("$"* #,##0.00_);_("$"* \(#,##0.00\);_("$"* "-"??_);_(@_)</c:formatCode>
                <c:ptCount val="3"/>
                <c:pt idx="0">
                  <c:v>100</c:v>
                </c:pt>
                <c:pt idx="1">
                  <c:v>100</c:v>
                </c:pt>
                <c:pt idx="2">
                  <c:v>16.989999999999998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06-4F61-9CBA-567CE1A84ABB}"/>
            </c:ext>
          </c:extLst>
        </c:ser>
        <c:ser>
          <c:idx val="1"/>
          <c:order val="1"/>
          <c:tx>
            <c:strRef>
              <c:f>Pivot!$F$15</c:f>
              <c:strCache>
                <c:ptCount val="1"/>
                <c:pt idx="0">
                  <c:v>Suma de Total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Pivot!$D$16:$D$19</c:f>
              <c:strCache>
                <c:ptCount val="3"/>
                <c:pt idx="0">
                  <c:v>Diezmo</c:v>
                </c:pt>
                <c:pt idx="1">
                  <c:v>Comer Afuera</c:v>
                </c:pt>
                <c:pt idx="2">
                  <c:v>Tigo</c:v>
                </c:pt>
              </c:strCache>
            </c:strRef>
          </c:cat>
          <c:val>
            <c:numRef>
              <c:f>Pivot!$F$16:$F$19</c:f>
              <c:numCache>
                <c:formatCode>_("$"* #,##0.00_);_("$"* \(#,##0.00\);_("$"* "-"??_);_(@_)</c:formatCode>
                <c:ptCount val="3"/>
                <c:pt idx="0">
                  <c:v>100</c:v>
                </c:pt>
                <c:pt idx="1">
                  <c:v>29.25</c:v>
                </c:pt>
                <c:pt idx="2">
                  <c:v>16.989999999999998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06-4F61-9CBA-567CE1A84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355557935"/>
        <c:axId val="355669199"/>
      </c:barChart>
      <c:catAx>
        <c:axId val="3555579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669199"/>
        <c:crosses val="autoZero"/>
        <c:auto val="1"/>
        <c:lblAlgn val="ctr"/>
        <c:lblOffset val="100"/>
        <c:noMultiLvlLbl val="0"/>
      </c:catAx>
      <c:valAx>
        <c:axId val="355669199"/>
        <c:scaling>
          <c:orientation val="minMax"/>
        </c:scaling>
        <c:delete val="1"/>
        <c:axPos val="t"/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355557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50000"/>
      </a:schemeClr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1200" b="1"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[Prespuesto Abraham Mena - copia.xlsm]Pivot!TablaDinámica2</c:name>
    <c:fmtId val="3"/>
  </c:pivotSource>
  <c:chart>
    <c:autoTitleDeleted val="1"/>
    <c:pivotFmts>
      <c:pivotFmt>
        <c:idx val="0"/>
        <c:spPr>
          <a:solidFill>
            <a:schemeClr val="accent2">
              <a:alpha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9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886893044619424"/>
          <c:y val="5.0925925925925923E-2"/>
          <c:w val="0.75696440288713907"/>
          <c:h val="0.898148148148148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9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Pivot!$H$5:$H$11</c:f>
              <c:strCache>
                <c:ptCount val="6"/>
                <c:pt idx="0">
                  <c:v>Iglesia</c:v>
                </c:pt>
                <c:pt idx="1">
                  <c:v>Supermercado</c:v>
                </c:pt>
                <c:pt idx="2">
                  <c:v>Compañía Telefonica</c:v>
                </c:pt>
                <c:pt idx="3">
                  <c:v>Pupuseria</c:v>
                </c:pt>
                <c:pt idx="4">
                  <c:v>Pasteleria</c:v>
                </c:pt>
                <c:pt idx="5">
                  <c:v>Comida Rapida</c:v>
                </c:pt>
              </c:strCache>
            </c:strRef>
          </c:cat>
          <c:val>
            <c:numRef>
              <c:f>Pivot!$I$5:$I$11</c:f>
              <c:numCache>
                <c:formatCode>_("$"* #,##0.00_);_("$"* \(#,##0.00\);_("$"* "-"??_);_(@_)</c:formatCode>
                <c:ptCount val="6"/>
                <c:pt idx="0">
                  <c:v>100</c:v>
                </c:pt>
                <c:pt idx="1">
                  <c:v>72.05</c:v>
                </c:pt>
                <c:pt idx="2">
                  <c:v>16.989999999999998</c:v>
                </c:pt>
                <c:pt idx="3">
                  <c:v>15</c:v>
                </c:pt>
                <c:pt idx="4">
                  <c:v>9.25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DB-4859-ACA1-C6D5573275A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776724559"/>
        <c:axId val="1588134111"/>
      </c:barChart>
      <c:catAx>
        <c:axId val="177672455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134111"/>
        <c:crosses val="autoZero"/>
        <c:auto val="1"/>
        <c:lblAlgn val="ctr"/>
        <c:lblOffset val="100"/>
        <c:noMultiLvlLbl val="0"/>
      </c:catAx>
      <c:valAx>
        <c:axId val="1588134111"/>
        <c:scaling>
          <c:orientation val="minMax"/>
        </c:scaling>
        <c:delete val="1"/>
        <c:axPos val="t"/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177672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11</xdr:row>
          <xdr:rowOff>161925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3073" name="Configuraci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</xdr:row>
          <xdr:rowOff>0</xdr:rowOff>
        </xdr:from>
        <xdr:to>
          <xdr:col>17</xdr:col>
          <xdr:colOff>0</xdr:colOff>
          <xdr:row>5</xdr:row>
          <xdr:rowOff>28575</xdr:rowOff>
        </xdr:to>
        <xdr:sp macro="" textlink="">
          <xdr:nvSpPr>
            <xdr:cNvPr id="3074" name="AgregarIngreso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5</xdr:row>
          <xdr:rowOff>161925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3075" name="Agregar_Gasto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</xdr:row>
          <xdr:rowOff>161925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3076" name="CommandButton1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23</xdr:col>
      <xdr:colOff>0</xdr:colOff>
      <xdr:row>36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16</xdr:row>
      <xdr:rowOff>0</xdr:rowOff>
    </xdr:from>
    <xdr:to>
      <xdr:col>9</xdr:col>
      <xdr:colOff>0</xdr:colOff>
      <xdr:row>36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9</xdr:col>
      <xdr:colOff>0</xdr:colOff>
      <xdr:row>15</xdr:row>
      <xdr:rowOff>76200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e Abraham Mena Velasquez" refreshedDate="43942.883053472222" createdVersion="6" refreshedVersion="6" minRefreshableVersion="3" recordCount="6" xr:uid="{69B5C36B-F45B-46BC-B4FF-0EE1B25C6AD5}">
  <cacheSource type="worksheet">
    <worksheetSource name="Gasto_Detalle"/>
  </cacheSource>
  <cacheFields count="10">
    <cacheField name="Mes" numFmtId="0">
      <sharedItems count="12">
        <s v="enero"/>
        <s v="mayo" u="1"/>
        <s v="noviembre" u="1"/>
        <s v="abril" u="1"/>
        <s v="diciembre" u="1"/>
        <s v="julio" u="1"/>
        <s v="junio" u="1"/>
        <s v="septiembre" u="1"/>
        <s v="octubre" u="1"/>
        <s v="febrero" u="1"/>
        <s v="marzo" u="1"/>
        <s v="agosto" u="1"/>
      </sharedItems>
    </cacheField>
    <cacheField name="Concepto" numFmtId="0">
      <sharedItems/>
    </cacheField>
    <cacheField name="Categoria" numFmtId="0">
      <sharedItems containsBlank="1" count="5">
        <s v="Otros"/>
        <s v="Subscripciones"/>
        <s v="Entretenimiento"/>
        <s v="Casa"/>
        <m u="1"/>
      </sharedItems>
    </cacheField>
    <cacheField name="Subcategoria" numFmtId="0">
      <sharedItems containsBlank="1" count="8">
        <s v="Diezmo"/>
        <s v="Tigo"/>
        <s v="Comer Afuera"/>
        <s v="Supermercado"/>
        <m u="1"/>
        <s v="Spotify" u="1"/>
        <s v="Microsoft 365" u="1"/>
        <s v="Miscelaneos" u="1"/>
      </sharedItems>
    </cacheField>
    <cacheField name="Fecha" numFmtId="14">
      <sharedItems containsSemiMixedTypes="0" containsNonDate="0" containsDate="1" containsString="0" minDate="1899-12-31T00:00:00" maxDate="2020-01-06T00:00:00"/>
    </cacheField>
    <cacheField name="Lugar" numFmtId="0">
      <sharedItems containsBlank="1" count="19">
        <s v="Iglesia"/>
        <s v="Compañía Telefonica"/>
        <s v="Comida Rapida"/>
        <s v="Pupuseria"/>
        <s v="Supermercado"/>
        <s v="Pasteleria"/>
        <m u="1"/>
        <s v="PriceSmart" u="1"/>
        <s v="Dollar City" u="1"/>
        <s v="Tipicos Margot" u="1"/>
        <s v="Subway" u="1"/>
        <s v="Tipicos Margoth" u="1"/>
        <s v="Super Selectos" u="1"/>
        <s v="Mcdonalds" u="1"/>
        <s v="Banban" u="1"/>
        <s v="Iglesia Josue" u="1"/>
        <s v="Tigo" u="1"/>
        <s v="Seabar" u="1"/>
        <s v="Online" u="1"/>
      </sharedItems>
    </cacheField>
    <cacheField name="Descripcion" numFmtId="0">
      <sharedItems containsBlank="1"/>
    </cacheField>
    <cacheField name="Total" numFmtId="7">
      <sharedItems containsSemiMixedTypes="0" containsString="0" containsNumber="1" minValue="5" maxValue="100"/>
    </cacheField>
    <cacheField name="Recurrente" numFmtId="1">
      <sharedItems containsSemiMixedTypes="0" containsString="0" containsNumber="1" containsInteger="1" minValue="0" maxValue="0"/>
    </cacheField>
    <cacheField name="Presupuesto" numFmtId="164">
      <sharedItems containsSemiMixedTypes="0" containsString="0" containsNumber="1" minValue="0" maxValue="150" count="8">
        <n v="100"/>
        <n v="16.989999999999998"/>
        <n v="150"/>
        <n v="0" u="1"/>
        <n v="7.99" u="1"/>
        <n v="130" u="1"/>
        <n v="5.99" u="1"/>
        <n v="47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e Abraham Mena Velasquez" refreshedDate="43942.883053703707" createdVersion="6" refreshedVersion="6" minRefreshableVersion="3" recordCount="12" xr:uid="{F2E70191-9A75-44AD-9B7A-4579669DD6E0}">
  <cacheSource type="worksheet">
    <worksheetSource name="Balances"/>
  </cacheSource>
  <cacheFields count="4">
    <cacheField name="M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Total Ingreso" numFmtId="0">
      <sharedItems containsSemiMixedTypes="0" containsString="0" containsNumber="1" minValue="0" maxValue="1999" count="10">
        <n v="897.48571428000002"/>
        <n v="0"/>
        <n v="1897.4857142800001" u="1"/>
        <n v="1000" u="1"/>
        <n v="999" u="1"/>
        <n v="1999" u="1"/>
        <n v="1794.97142856" u="1"/>
        <n v="471.17999999699998" u="1"/>
        <n v="1896.4857142800001" u="1"/>
        <n v="235.58999999849999" u="1"/>
      </sharedItems>
    </cacheField>
    <cacheField name="Total Gastos" numFmtId="0">
      <sharedItems containsSemiMixedTypes="0" containsString="0" containsNumber="1" minValue="-218.29000000000002" maxValue="0"/>
    </cacheField>
    <cacheField name="Balance" numFmtId="0">
      <sharedItems containsSemiMixedTypes="0" containsString="0" containsNumber="1" minValue="0" maxValue="679.19571427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s v="Gasto"/>
    <x v="0"/>
    <x v="0"/>
    <d v="2020-01-01T00:00:00"/>
    <x v="0"/>
    <s v="Diezmo 1 de 2"/>
    <n v="100"/>
    <n v="0"/>
    <x v="0"/>
  </r>
  <r>
    <x v="0"/>
    <s v="Gasto"/>
    <x v="1"/>
    <x v="1"/>
    <d v="2020-01-02T00:00:00"/>
    <x v="1"/>
    <m/>
    <n v="16.989999999999998"/>
    <n v="0"/>
    <x v="1"/>
  </r>
  <r>
    <x v="0"/>
    <s v="Gasto"/>
    <x v="2"/>
    <x v="2"/>
    <d v="1899-12-31T00:00:00"/>
    <x v="2"/>
    <m/>
    <n v="5"/>
    <n v="0"/>
    <x v="0"/>
  </r>
  <r>
    <x v="0"/>
    <s v="Gasto"/>
    <x v="2"/>
    <x v="2"/>
    <d v="1899-12-31T00:00:00"/>
    <x v="3"/>
    <s v="Gasto compartido con mi papa. El puso 10 y yo 15."/>
    <n v="15"/>
    <n v="0"/>
    <x v="0"/>
  </r>
  <r>
    <x v="0"/>
    <s v="Gasto"/>
    <x v="3"/>
    <x v="3"/>
    <d v="1900-01-04T00:00:00"/>
    <x v="4"/>
    <m/>
    <n v="72.05"/>
    <n v="0"/>
    <x v="2"/>
  </r>
  <r>
    <x v="0"/>
    <s v="Gasto"/>
    <x v="2"/>
    <x v="2"/>
    <d v="2020-01-05T00:00:00"/>
    <x v="5"/>
    <m/>
    <n v="9.25"/>
    <n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n v="-218.29000000000002"/>
    <n v="679.19571427999995"/>
  </r>
  <r>
    <x v="1"/>
    <x v="1"/>
    <n v="0"/>
    <n v="0"/>
  </r>
  <r>
    <x v="2"/>
    <x v="1"/>
    <n v="0"/>
    <n v="0"/>
  </r>
  <r>
    <x v="3"/>
    <x v="1"/>
    <n v="0"/>
    <n v="0"/>
  </r>
  <r>
    <x v="4"/>
    <x v="1"/>
    <n v="0"/>
    <n v="0"/>
  </r>
  <r>
    <x v="5"/>
    <x v="1"/>
    <n v="0"/>
    <n v="0"/>
  </r>
  <r>
    <x v="6"/>
    <x v="1"/>
    <n v="0"/>
    <n v="0"/>
  </r>
  <r>
    <x v="7"/>
    <x v="1"/>
    <n v="0"/>
    <n v="0"/>
  </r>
  <r>
    <x v="8"/>
    <x v="1"/>
    <n v="0"/>
    <n v="0"/>
  </r>
  <r>
    <x v="9"/>
    <x v="1"/>
    <n v="0"/>
    <n v="0"/>
  </r>
  <r>
    <x v="10"/>
    <x v="1"/>
    <n v="0"/>
    <n v="0"/>
  </r>
  <r>
    <x v="11"/>
    <x v="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70CBFC-EBB8-42EA-90D1-DD9F716B6E0C}" name="TablaDinámica4" cacheId="321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8" firstHeaderRow="1" firstDataRow="1" firstDataCol="1" rowPageCount="1" colPageCount="1"/>
  <pivotFields count="10">
    <pivotField axis="axisPage" showAll="0">
      <items count="13">
        <item m="1" x="3"/>
        <item m="1" x="1"/>
        <item m="1" x="6"/>
        <item m="1" x="5"/>
        <item m="1" x="11"/>
        <item m="1" x="7"/>
        <item m="1" x="8"/>
        <item m="1" x="2"/>
        <item m="1" x="4"/>
        <item x="0"/>
        <item m="1" x="9"/>
        <item m="1" x="10"/>
        <item t="default"/>
      </items>
    </pivotField>
    <pivotField showAll="0"/>
    <pivotField axis="axisRow" showAll="0">
      <items count="6">
        <item x="3"/>
        <item x="2"/>
        <item x="0"/>
        <item x="1"/>
        <item m="1" x="4"/>
        <item t="default"/>
      </items>
    </pivotField>
    <pivotField showAll="0"/>
    <pivotField numFmtId="14" showAll="0"/>
    <pivotField showAll="0"/>
    <pivotField showAll="0"/>
    <pivotField dataField="1" numFmtId="7" showAll="0"/>
    <pivotField numFmtId="1"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0" item="9" hier="-1"/>
  </pageFields>
  <dataFields count="1">
    <dataField name="Suma de Total" fld="7" baseField="0" baseItem="0" numFmtId="164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118B3-36C2-4CE5-8525-9F74F501FF9A}" name="TablaDinámica5" cacheId="321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9">
  <location ref="D15:F19" firstHeaderRow="0" firstDataRow="1" firstDataCol="1" rowPageCount="2" colPageCount="1"/>
  <pivotFields count="10">
    <pivotField axis="axisPage" showAll="0">
      <items count="13">
        <item x="0"/>
        <item m="1" x="9"/>
        <item m="1" x="10"/>
        <item m="1" x="3"/>
        <item m="1" x="1"/>
        <item m="1" x="6"/>
        <item m="1" x="5"/>
        <item m="1" x="11"/>
        <item m="1" x="7"/>
        <item m="1" x="8"/>
        <item m="1" x="2"/>
        <item m="1" x="4"/>
        <item t="default"/>
      </items>
    </pivotField>
    <pivotField showAll="0"/>
    <pivotField showAll="0"/>
    <pivotField axis="axisRow" showAll="0" sortType="descending">
      <items count="9">
        <item x="2"/>
        <item x="0"/>
        <item m="1" x="6"/>
        <item m="1" x="7"/>
        <item m="1" x="5"/>
        <item x="3"/>
        <item x="1"/>
        <item m="1" x="4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numFmtId="14" showAll="0"/>
    <pivotField showAll="0"/>
    <pivotField showAll="0"/>
    <pivotField dataField="1" numFmtId="7" showAll="0"/>
    <pivotField numFmtId="1" showAll="0"/>
    <pivotField axis="axisPage" dataField="1" multipleItemSelectionAllowed="1" showAll="0">
      <items count="9">
        <item h="1" m="1" x="3"/>
        <item m="1" x="6"/>
        <item m="1" x="4"/>
        <item x="1"/>
        <item x="0"/>
        <item m="1" x="5"/>
        <item h="1" m="1" x="7"/>
        <item h="1" x="2"/>
        <item t="default"/>
      </items>
    </pivotField>
  </pivotFields>
  <rowFields count="1">
    <field x="3"/>
  </rowFields>
  <rowItems count="4">
    <i>
      <x v="1"/>
    </i>
    <i>
      <x/>
    </i>
    <i>
      <x v="6"/>
    </i>
    <i t="grand">
      <x/>
    </i>
  </rowItems>
  <colFields count="1">
    <field x="-2"/>
  </colFields>
  <colItems count="2">
    <i>
      <x/>
    </i>
    <i i="1">
      <x v="1"/>
    </i>
  </colItems>
  <pageFields count="2">
    <pageField fld="0" item="0" hier="-1"/>
    <pageField fld="9" hier="-1"/>
  </pageFields>
  <dataFields count="2">
    <dataField name="Promedio de Presupuesto" fld="9" subtotal="average" baseField="3" baseItem="0"/>
    <dataField name="Suma de Total" fld="7" baseField="0" baseItem="0"/>
  </dataFields>
  <formats count="1">
    <format dxfId="3">
      <pivotArea collapsedLevelsAreSubtotals="1" fieldPosition="0">
        <references count="1">
          <reference field="3" count="0"/>
        </references>
      </pivotArea>
    </format>
  </formats>
  <chartFormats count="7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8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8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A144EF-09B4-4CFF-A263-5327AC975404}" name="TablaDinámica3" cacheId="321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K3:N15" firstHeaderRow="0" firstDataRow="1" firstDataCol="1" rowPageCount="1" colPageCount="1"/>
  <pivotFields count="4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dataField="1" showAll="0">
      <items count="11">
        <item x="1"/>
        <item m="1" x="7"/>
        <item m="1" x="9"/>
        <item x="0"/>
        <item m="1" x="3"/>
        <item m="1" x="4"/>
        <item m="1" x="6"/>
        <item m="1" x="8"/>
        <item m="1" x="2"/>
        <item m="1" x="5"/>
        <item t="default"/>
      </items>
    </pivotField>
    <pivotField dataField="1" showAll="0"/>
    <pivotField dataField="1" showAll="0"/>
  </pivotFields>
  <rowFields count="1">
    <field x="0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0" hier="-1"/>
  </pageFields>
  <dataFields count="3">
    <dataField name="Suma de Total Ingreso" fld="1" baseField="0" baseItem="0"/>
    <dataField name="Suma de Total Gastos" fld="2" baseField="0" baseItem="0"/>
    <dataField name="Suma de Balance" fld="3" baseField="0" baseItem="0"/>
  </dataFields>
  <formats count="1">
    <format dxfId="4">
      <pivotArea outline="0" collapsedLevelsAreSubtotals="1" fieldPosition="0"/>
    </format>
  </formats>
  <chartFormats count="3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3C9C3F-05F9-4677-BDBA-163E3FFD0AFB}" name="TablaDinámica2" cacheId="321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">
  <location ref="H4:I11" firstHeaderRow="1" firstDataRow="1" firstDataCol="1" rowPageCount="1" colPageCount="1"/>
  <pivotFields count="10">
    <pivotField axis="axisPage" showAll="0">
      <items count="13">
        <item m="1" x="3"/>
        <item m="1" x="1"/>
        <item m="1" x="6"/>
        <item m="1" x="5"/>
        <item m="1" x="11"/>
        <item m="1" x="7"/>
        <item m="1" x="8"/>
        <item m="1" x="2"/>
        <item m="1" x="4"/>
        <item x="0"/>
        <item m="1" x="9"/>
        <item m="1" x="10"/>
        <item t="default"/>
      </items>
    </pivotField>
    <pivotField showAll="0"/>
    <pivotField showAll="0"/>
    <pivotField showAll="0"/>
    <pivotField numFmtId="14" showAll="0"/>
    <pivotField axis="axisRow" showAll="0" measureFilter="1" sortType="descending">
      <items count="20">
        <item m="1" x="11"/>
        <item m="1" x="9"/>
        <item m="1" x="16"/>
        <item m="1" x="12"/>
        <item m="1" x="10"/>
        <item m="1" x="17"/>
        <item m="1" x="7"/>
        <item m="1" x="18"/>
        <item m="1" x="13"/>
        <item m="1" x="15"/>
        <item m="1" x="8"/>
        <item m="1" x="14"/>
        <item m="1" x="6"/>
        <item x="1"/>
        <item x="4"/>
        <item x="5"/>
        <item x="3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numFmtId="7" showAll="0"/>
    <pivotField numFmtId="1" showAll="0"/>
    <pivotField showAll="0"/>
  </pivotFields>
  <rowFields count="1">
    <field x="5"/>
  </rowFields>
  <rowItems count="7">
    <i>
      <x v="18"/>
    </i>
    <i>
      <x v="14"/>
    </i>
    <i>
      <x v="13"/>
    </i>
    <i>
      <x v="16"/>
    </i>
    <i>
      <x v="15"/>
    </i>
    <i>
      <x v="17"/>
    </i>
    <i t="grand">
      <x/>
    </i>
  </rowItems>
  <colItems count="1">
    <i/>
  </colItems>
  <pageFields count="1">
    <pageField fld="0" item="9" hier="-1"/>
  </pageFields>
  <dataFields count="1">
    <dataField name="Suma de Total" fld="7" baseField="0" baseItem="0" numFmtId="164"/>
  </dataFields>
  <formats count="1">
    <format dxfId="5">
      <pivotArea outline="0" collapsedLevelsAreSubtotals="1" fieldPosition="0"/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BEA7B6-517E-4A4C-8C92-CDFE3A860F8F}" name="TablaDinámica1" cacheId="321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>
  <location ref="D3:E8" firstHeaderRow="1" firstDataRow="1" firstDataCol="1" rowPageCount="1" colPageCount="1"/>
  <pivotFields count="10">
    <pivotField axis="axisPage" showAll="0">
      <items count="13">
        <item m="1" x="3"/>
        <item m="1" x="1"/>
        <item m="1" x="6"/>
        <item m="1" x="5"/>
        <item m="1" x="11"/>
        <item m="1" x="7"/>
        <item m="1" x="8"/>
        <item m="1" x="2"/>
        <item m="1" x="4"/>
        <item x="0"/>
        <item m="1" x="9"/>
        <item m="1" x="10"/>
        <item t="default"/>
      </items>
    </pivotField>
    <pivotField showAll="0"/>
    <pivotField showAll="0"/>
    <pivotField axis="axisRow" showAll="0" sortType="descending">
      <items count="9">
        <item x="2"/>
        <item x="0"/>
        <item m="1" x="6"/>
        <item m="1" x="7"/>
        <item m="1" x="5"/>
        <item x="3"/>
        <item x="1"/>
        <item m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showAll="0"/>
    <pivotField showAll="0"/>
    <pivotField dataField="1" numFmtId="7" showAll="0"/>
    <pivotField numFmtId="1" showAll="0"/>
    <pivotField showAll="0"/>
  </pivotFields>
  <rowFields count="1">
    <field x="3"/>
  </rowFields>
  <rowItems count="5">
    <i>
      <x v="1"/>
    </i>
    <i>
      <x v="5"/>
    </i>
    <i>
      <x/>
    </i>
    <i>
      <x v="6"/>
    </i>
    <i t="grand">
      <x/>
    </i>
  </rowItems>
  <colItems count="1">
    <i/>
  </colItems>
  <pageFields count="1">
    <pageField fld="0" item="9" hier="-1"/>
  </pageFields>
  <dataFields count="1">
    <dataField name="Suma de Total" fld="7" baseField="0" baseItem="0"/>
  </dataFields>
  <formats count="7">
    <format dxfId="12">
      <pivotArea grandRow="1" outline="0" collapsedLevelsAreSubtotals="1" fieldPosition="0"/>
    </format>
    <format dxfId="11">
      <pivotArea collapsedLevelsAreSubtotals="1" fieldPosition="0">
        <references count="1">
          <reference field="3" count="6">
            <x v="0"/>
            <x v="1"/>
            <x v="2"/>
            <x v="3"/>
            <x v="4"/>
            <x v="5"/>
          </reference>
        </references>
      </pivotArea>
    </format>
    <format dxfId="10">
      <pivotArea collapsedLevelsAreSubtotals="1" fieldPosition="0">
        <references count="1">
          <reference field="3" count="1">
            <x v="1"/>
          </reference>
        </references>
      </pivotArea>
    </format>
    <format dxfId="9">
      <pivotArea collapsedLevelsAreSubtotals="1" fieldPosition="0">
        <references count="1">
          <reference field="3" count="1">
            <x v="2"/>
          </reference>
        </references>
      </pivotArea>
    </format>
    <format dxfId="8">
      <pivotArea collapsedLevelsAreSubtotals="1" fieldPosition="0">
        <references count="1">
          <reference field="3" count="1">
            <x v="3"/>
          </reference>
        </references>
      </pivotArea>
    </format>
    <format dxfId="7">
      <pivotArea collapsedLevelsAreSubtotals="1" fieldPosition="0">
        <references count="1">
          <reference field="3" count="1">
            <x v="4"/>
          </reference>
        </references>
      </pivotArea>
    </format>
    <format dxfId="6">
      <pivotArea collapsedLevelsAreSubtotals="1" fieldPosition="0">
        <references count="1">
          <reference field="3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9660001-2904-4442-ACA3-C1BCBABBE543}" name="Salario" displayName="Salario" ref="C5:N6" headerRowCount="0" totalsRowShown="0" tableBorderDxfId="91">
  <tableColumns count="12">
    <tableColumn id="1" xr3:uid="{0B40E35A-4167-49A6-BC3E-F1063028E349}" name="Columna1">
      <calculatedColumnFormula>SUMIFS(Ingreso_Detalle[[Total Neto]:[Total Neto]],Ingreso_Detalle[[Subcategoria]:[Subcategoria]],$A5,Ingreso_Detalle[[Mes]:[Mes]],C$3)</calculatedColumnFormula>
    </tableColumn>
    <tableColumn id="2" xr3:uid="{C53C3BC9-B24B-4E0A-B151-717364D8AAAD}" name="Columna2">
      <calculatedColumnFormula>SUMIFS(Ingreso_Detalle[[Total Neto]:[Total Neto]],Ingreso_Detalle[[Subcategoria]:[Subcategoria]],$A5,Ingreso_Detalle[[Mes]:[Mes]],D$3)</calculatedColumnFormula>
    </tableColumn>
    <tableColumn id="3" xr3:uid="{6E2AC29C-B37B-40E7-8699-F04EBCA4934A}" name="Columna3">
      <calculatedColumnFormula>SUMIFS(Ingreso_Detalle[[Total Neto]:[Total Neto]],Ingreso_Detalle[[Subcategoria]:[Subcategoria]],$A5,Ingreso_Detalle[[Mes]:[Mes]],E$3)</calculatedColumnFormula>
    </tableColumn>
    <tableColumn id="4" xr3:uid="{C3BB4074-D1D1-4F7A-84B7-CC0D3376773C}" name="Columna4">
      <calculatedColumnFormula>SUMIFS(Ingreso_Detalle[[Total Neto]:[Total Neto]],Ingreso_Detalle[[Subcategoria]:[Subcategoria]],$A5,Ingreso_Detalle[[Mes]:[Mes]],F$3)</calculatedColumnFormula>
    </tableColumn>
    <tableColumn id="5" xr3:uid="{69BDC34A-464E-4608-A75E-44A268991A3F}" name="Columna5">
      <calculatedColumnFormula>SUMIFS(Ingreso_Detalle[[Total Neto]:[Total Neto]],Ingreso_Detalle[[Subcategoria]:[Subcategoria]],$A5,Ingreso_Detalle[[Mes]:[Mes]],G$3)</calculatedColumnFormula>
    </tableColumn>
    <tableColumn id="6" xr3:uid="{C72CDE37-4395-45E1-8428-0CC4B97FFFF7}" name="Columna6">
      <calculatedColumnFormula>SUMIFS(Ingreso_Detalle[[Total Neto]:[Total Neto]],Ingreso_Detalle[[Subcategoria]:[Subcategoria]],$A5,Ingreso_Detalle[[Mes]:[Mes]],H$3)</calculatedColumnFormula>
    </tableColumn>
    <tableColumn id="7" xr3:uid="{A5D7DE0C-93C7-46A7-8CE6-DA249146CC07}" name="Columna7">
      <calculatedColumnFormula>SUMIFS(Ingreso_Detalle[[Total Neto]:[Total Neto]],Ingreso_Detalle[[Subcategoria]:[Subcategoria]],$A5,Ingreso_Detalle[[Mes]:[Mes]],I$3)</calculatedColumnFormula>
    </tableColumn>
    <tableColumn id="8" xr3:uid="{E5CB29A8-C3B1-469E-9501-2AF9608A7653}" name="Columna8">
      <calculatedColumnFormula>SUMIFS(Ingreso_Detalle[[Total Neto]:[Total Neto]],Ingreso_Detalle[[Subcategoria]:[Subcategoria]],$A5,Ingreso_Detalle[[Mes]:[Mes]],J$3)</calculatedColumnFormula>
    </tableColumn>
    <tableColumn id="9" xr3:uid="{F31E5B0B-6352-41A0-B09C-C3A53830E5F7}" name="Columna9">
      <calculatedColumnFormula>SUMIFS(Ingreso_Detalle[[Total Neto]:[Total Neto]],Ingreso_Detalle[[Subcategoria]:[Subcategoria]],$A5,Ingreso_Detalle[[Mes]:[Mes]],K$3)</calculatedColumnFormula>
    </tableColumn>
    <tableColumn id="10" xr3:uid="{62C80528-A6FE-464C-BB47-764141DA7B99}" name="Columna10">
      <calculatedColumnFormula>SUMIFS(Ingreso_Detalle[[Total Neto]:[Total Neto]],Ingreso_Detalle[[Subcategoria]:[Subcategoria]],$A5,Ingreso_Detalle[[Mes]:[Mes]],L$3)</calculatedColumnFormula>
    </tableColumn>
    <tableColumn id="11" xr3:uid="{9EED245B-0F3D-4C5C-87EA-064A491E3CAF}" name="Columna11">
      <calculatedColumnFormula>SUMIFS(Ingreso_Detalle[[Total Neto]:[Total Neto]],Ingreso_Detalle[[Subcategoria]:[Subcategoria]],$A5,Ingreso_Detalle[[Mes]:[Mes]],M$3)</calculatedColumnFormula>
    </tableColumn>
    <tableColumn id="12" xr3:uid="{F2387695-0CBE-47DC-B971-DA23E819059E}" name="Columna12">
      <calculatedColumnFormula>SUMIFS(Ingreso_Detalle[[Total Neto]:[Total Neto]],Ingreso_Detalle[[Subcategoria]:[Subcategoria]],$A5,Ingreso_Detalle[[Mes]:[Mes]],N$3)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3C4F852-03E7-4683-B8E0-0C5E683A41D3}" name="Bono" displayName="Bono" ref="C8:N8" headerRowCount="0" totalsRowShown="0" dataDxfId="90" tableBorderDxfId="89">
  <tableColumns count="12">
    <tableColumn id="1" xr3:uid="{E8C89F2F-E1B5-4F70-BCB9-FDFE83A85A0E}" name="Columna1" dataDxfId="88">
      <calculatedColumnFormula>SUMIFS(Ingreso_Detalle[[Total Neto]:[Total Neto]],Ingreso_Detalle[[Subcategoria]:[Subcategoria]],$A8,Ingreso_Detalle[[Mes]:[Mes]],C$3)</calculatedColumnFormula>
    </tableColumn>
    <tableColumn id="2" xr3:uid="{6DE55CCA-B2C0-4FBF-B78A-FD5500F43887}" name="Columna2" dataDxfId="87">
      <calculatedColumnFormula>SUMIFS(Ingreso_Detalle[[Total Neto]:[Total Neto]],Ingreso_Detalle[[Subcategoria]:[Subcategoria]],$A8,Ingreso_Detalle[[Mes]:[Mes]],D$3)</calculatedColumnFormula>
    </tableColumn>
    <tableColumn id="3" xr3:uid="{40EBCF8D-F484-4871-B247-F7DC0490F522}" name="Columna3" dataDxfId="86">
      <calculatedColumnFormula>SUMIFS(Ingreso_Detalle[[Total Neto]:[Total Neto]],Ingreso_Detalle[[Subcategoria]:[Subcategoria]],$A8,Ingreso_Detalle[[Mes]:[Mes]],E$3)</calculatedColumnFormula>
    </tableColumn>
    <tableColumn id="4" xr3:uid="{770DC733-322E-4640-BBD7-7F73742DAE16}" name="Columna4" dataDxfId="85">
      <calculatedColumnFormula>SUMIFS(Ingreso_Detalle[[Total Neto]:[Total Neto]],Ingreso_Detalle[[Subcategoria]:[Subcategoria]],$A8,Ingreso_Detalle[[Mes]:[Mes]],F$3)</calculatedColumnFormula>
    </tableColumn>
    <tableColumn id="5" xr3:uid="{81734F81-F286-4B65-AB83-E31A3A77FCA7}" name="Columna5" dataDxfId="84">
      <calculatedColumnFormula>SUMIFS(Ingreso_Detalle[[Total Neto]:[Total Neto]],Ingreso_Detalle[[Subcategoria]:[Subcategoria]],$A8,Ingreso_Detalle[[Mes]:[Mes]],G$3)</calculatedColumnFormula>
    </tableColumn>
    <tableColumn id="6" xr3:uid="{B3B15F1C-A499-4F65-BDF9-4D6AFD198958}" name="Columna6" dataDxfId="83">
      <calculatedColumnFormula>SUMIFS(Ingreso_Detalle[[Total Neto]:[Total Neto]],Ingreso_Detalle[[Subcategoria]:[Subcategoria]],$A8,Ingreso_Detalle[[Mes]:[Mes]],H$3)</calculatedColumnFormula>
    </tableColumn>
    <tableColumn id="7" xr3:uid="{37C62E71-2E6B-4D4F-BDDD-6C6729A3CCE5}" name="Columna7" dataDxfId="82">
      <calculatedColumnFormula>SUMIFS(Ingreso_Detalle[[Total Neto]:[Total Neto]],Ingreso_Detalle[[Subcategoria]:[Subcategoria]],$A8,Ingreso_Detalle[[Mes]:[Mes]],I$3)</calculatedColumnFormula>
    </tableColumn>
    <tableColumn id="8" xr3:uid="{0ED1EDB0-9264-436F-A44D-A46966008046}" name="Columna8" dataDxfId="81">
      <calculatedColumnFormula>SUMIFS(Ingreso_Detalle[[Total Neto]:[Total Neto]],Ingreso_Detalle[[Subcategoria]:[Subcategoria]],$A8,Ingreso_Detalle[[Mes]:[Mes]],J$3)</calculatedColumnFormula>
    </tableColumn>
    <tableColumn id="9" xr3:uid="{B7889E97-7F4C-446D-A7F2-E66A89F962A2}" name="Columna9" dataDxfId="80">
      <calculatedColumnFormula>SUMIFS(Ingreso_Detalle[[Total Neto]:[Total Neto]],Ingreso_Detalle[[Subcategoria]:[Subcategoria]],$A8,Ingreso_Detalle[[Mes]:[Mes]],K$3)</calculatedColumnFormula>
    </tableColumn>
    <tableColumn id="10" xr3:uid="{5C53E74F-5FDB-4B10-B49E-C6CDFABFA666}" name="Columna10" dataDxfId="79">
      <calculatedColumnFormula>SUMIFS(Ingreso_Detalle[[Total Neto]:[Total Neto]],Ingreso_Detalle[[Subcategoria]:[Subcategoria]],$A8,Ingreso_Detalle[[Mes]:[Mes]],L$3)</calculatedColumnFormula>
    </tableColumn>
    <tableColumn id="11" xr3:uid="{3578F248-AD8C-4C3A-A666-D145C3713314}" name="Columna11" dataDxfId="78">
      <calculatedColumnFormula>SUMIFS(Ingreso_Detalle[[Total Neto]:[Total Neto]],Ingreso_Detalle[[Subcategoria]:[Subcategoria]],$A8,Ingreso_Detalle[[Mes]:[Mes]],M$3)</calculatedColumnFormula>
    </tableColumn>
    <tableColumn id="12" xr3:uid="{48D5DA11-9373-472E-9171-EB1B50CB97C0}" name="Columna12" dataDxfId="77">
      <calculatedColumnFormula>SUMIFS(Ingreso_Detalle[[Total Neto]:[Total Neto]],Ingreso_Detalle[[Subcategoria]:[Subcategoria]],$A8,Ingreso_Detalle[[Mes]:[Mes]],N$3)</calculatedColumnFormula>
    </tableColumn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DA3C5E1-1D46-49F9-9763-6CC0EE54186E}" name="Entretenimiento" displayName="Entretenimiento" ref="C13:N14" headerRowCount="0" totalsRowShown="0" tableBorderDxfId="76">
  <tableColumns count="12">
    <tableColumn id="1" xr3:uid="{507CDCD2-A8A6-4D0C-9B75-6A19D37F0943}" name="Columna1">
      <calculatedColumnFormula>SUMIFS(Gasto_Detalle[[Total]:[Total]],Gasto_Detalle[[Subcategoria]:[Subcategoria]],$A13,Gasto_Detalle[[Mes]:[Mes]],C$3)</calculatedColumnFormula>
    </tableColumn>
    <tableColumn id="2" xr3:uid="{C639C9F0-3CF3-42B7-A9B4-49D0BB699D87}" name="Columna2">
      <calculatedColumnFormula>SUMIFS(Gasto_Detalle[[Total]:[Total]],Gasto_Detalle[[Subcategoria]:[Subcategoria]],$A13,Gasto_Detalle[[Mes]:[Mes]],D$3)</calculatedColumnFormula>
    </tableColumn>
    <tableColumn id="3" xr3:uid="{600DAD9D-70A0-4DD7-8527-978DDF928448}" name="Columna3">
      <calculatedColumnFormula>SUMIFS(Gasto_Detalle[[Total]:[Total]],Gasto_Detalle[[Subcategoria]:[Subcategoria]],$A13,Gasto_Detalle[[Mes]:[Mes]],E$3)</calculatedColumnFormula>
    </tableColumn>
    <tableColumn id="4" xr3:uid="{E0EA6AAD-4506-4C52-85F1-6B274BD8A243}" name="Columna4">
      <calculatedColumnFormula>SUMIFS(Gasto_Detalle[[Total]:[Total]],Gasto_Detalle[[Subcategoria]:[Subcategoria]],$A13,Gasto_Detalle[[Mes]:[Mes]],F$3)</calculatedColumnFormula>
    </tableColumn>
    <tableColumn id="5" xr3:uid="{0BEA99A4-8B51-4B04-AF2A-E5C5B3FEDC2C}" name="Columna5">
      <calculatedColumnFormula>SUMIFS(Gasto_Detalle[[Total]:[Total]],Gasto_Detalle[[Subcategoria]:[Subcategoria]],$A13,Gasto_Detalle[[Mes]:[Mes]],G$3)</calculatedColumnFormula>
    </tableColumn>
    <tableColumn id="6" xr3:uid="{9F34F391-B2A6-4B26-BBE1-7CD544B8C09B}" name="Columna6">
      <calculatedColumnFormula>SUMIFS(Gasto_Detalle[[Total]:[Total]],Gasto_Detalle[[Subcategoria]:[Subcategoria]],$A13,Gasto_Detalle[[Mes]:[Mes]],H$3)</calculatedColumnFormula>
    </tableColumn>
    <tableColumn id="7" xr3:uid="{5C115F4C-356F-439D-A84F-4BAC845BFA0F}" name="Columna7">
      <calculatedColumnFormula>SUMIFS(Gasto_Detalle[[Total]:[Total]],Gasto_Detalle[[Subcategoria]:[Subcategoria]],$A13,Gasto_Detalle[[Mes]:[Mes]],I$3)</calculatedColumnFormula>
    </tableColumn>
    <tableColumn id="8" xr3:uid="{901F7FF3-8CAA-4FB1-A516-8C3FBCCD73C5}" name="Columna8">
      <calculatedColumnFormula>SUMIFS(Gasto_Detalle[[Total]:[Total]],Gasto_Detalle[[Subcategoria]:[Subcategoria]],$A13,Gasto_Detalle[[Mes]:[Mes]],J$3)</calculatedColumnFormula>
    </tableColumn>
    <tableColumn id="9" xr3:uid="{95C92A3C-9B95-473E-8EC1-FD69623674F6}" name="Columna9">
      <calculatedColumnFormula>SUMIFS(Gasto_Detalle[[Total]:[Total]],Gasto_Detalle[[Subcategoria]:[Subcategoria]],$A13,Gasto_Detalle[[Mes]:[Mes]],K$3)</calculatedColumnFormula>
    </tableColumn>
    <tableColumn id="10" xr3:uid="{268FF8DE-33C8-49B7-A2D2-D4CD59C67C43}" name="Columna10">
      <calculatedColumnFormula>SUMIFS(Gasto_Detalle[[Total]:[Total]],Gasto_Detalle[[Subcategoria]:[Subcategoria]],$A13,Gasto_Detalle[[Mes]:[Mes]],L$3)</calculatedColumnFormula>
    </tableColumn>
    <tableColumn id="11" xr3:uid="{A15BB60B-448C-4713-97B6-D574C0C90009}" name="Columna11">
      <calculatedColumnFormula>SUMIFS(Gasto_Detalle[[Total]:[Total]],Gasto_Detalle[[Subcategoria]:[Subcategoria]],$A13,Gasto_Detalle[[Mes]:[Mes]],M$3)</calculatedColumnFormula>
    </tableColumn>
    <tableColumn id="12" xr3:uid="{3BD9514F-193F-4C25-A8B4-633057CE52E7}" name="Columna12">
      <calculatedColumnFormula>SUMIFS(Gasto_Detalle[[Total]:[Total]],Gasto_Detalle[[Subcategoria]:[Subcategoria]],$A13,Gasto_Detalle[[Mes]:[Mes]],N$3)</calculatedColumnFormula>
    </tableColumn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E13104B-9ACA-43A9-B3FC-C9242E3DC3B8}" name="Subscripciones" displayName="Subscripciones" ref="C16:N18" headerRowCount="0" totalsRowShown="0" tableBorderDxfId="75">
  <tableColumns count="12">
    <tableColumn id="1" xr3:uid="{E6E359DA-D653-4A4A-A359-BB27D2192C19}" name="Columna1">
      <calculatedColumnFormula>SUMIFS(Gasto_Detalle[[Total]:[Total]],Gasto_Detalle[[Subcategoria]:[Subcategoria]],$A16,Gasto_Detalle[[Mes]:[Mes]],C$3)</calculatedColumnFormula>
    </tableColumn>
    <tableColumn id="2" xr3:uid="{06B5CA6B-88EC-4823-A720-2D39A9826F7E}" name="Columna2">
      <calculatedColumnFormula>SUMIFS(Gasto_Detalle[[Total]:[Total]],Gasto_Detalle[[Subcategoria]:[Subcategoria]],$A16,Gasto_Detalle[[Mes]:[Mes]],D$3)</calculatedColumnFormula>
    </tableColumn>
    <tableColumn id="3" xr3:uid="{88FF6DCD-0646-4516-93E1-208615556195}" name="Columna3">
      <calculatedColumnFormula>SUMIFS(Gasto_Detalle[[Total]:[Total]],Gasto_Detalle[[Subcategoria]:[Subcategoria]],$A16,Gasto_Detalle[[Mes]:[Mes]],E$3)</calculatedColumnFormula>
    </tableColumn>
    <tableColumn id="4" xr3:uid="{59726F95-C6A4-44B9-9301-55035C20DBFD}" name="Columna4">
      <calculatedColumnFormula>SUMIFS(Gasto_Detalle[[Total]:[Total]],Gasto_Detalle[[Subcategoria]:[Subcategoria]],$A16,Gasto_Detalle[[Mes]:[Mes]],F$3)</calculatedColumnFormula>
    </tableColumn>
    <tableColumn id="5" xr3:uid="{FD58F9CD-5C2D-4A00-AA7C-7E05E59D4050}" name="Columna5">
      <calculatedColumnFormula>SUMIFS(Gasto_Detalle[[Total]:[Total]],Gasto_Detalle[[Subcategoria]:[Subcategoria]],$A16,Gasto_Detalle[[Mes]:[Mes]],G$3)</calculatedColumnFormula>
    </tableColumn>
    <tableColumn id="6" xr3:uid="{FA058EEF-8288-48BD-9FEC-E8F0F974F249}" name="Columna6">
      <calculatedColumnFormula>SUMIFS(Gasto_Detalle[[Total]:[Total]],Gasto_Detalle[[Subcategoria]:[Subcategoria]],$A16,Gasto_Detalle[[Mes]:[Mes]],H$3)</calculatedColumnFormula>
    </tableColumn>
    <tableColumn id="7" xr3:uid="{FDA0BD6D-BA60-41B3-9076-FFCBEADED38D}" name="Columna7">
      <calculatedColumnFormula>SUMIFS(Gasto_Detalle[[Total]:[Total]],Gasto_Detalle[[Subcategoria]:[Subcategoria]],$A16,Gasto_Detalle[[Mes]:[Mes]],I$3)</calculatedColumnFormula>
    </tableColumn>
    <tableColumn id="8" xr3:uid="{2F5E9EC4-7AD3-4DE0-BA03-62F384662E40}" name="Columna8">
      <calculatedColumnFormula>SUMIFS(Gasto_Detalle[[Total]:[Total]],Gasto_Detalle[[Subcategoria]:[Subcategoria]],$A16,Gasto_Detalle[[Mes]:[Mes]],J$3)</calculatedColumnFormula>
    </tableColumn>
    <tableColumn id="9" xr3:uid="{5A7FE5E6-2D7F-4C18-9177-4AB12C34CC67}" name="Columna9">
      <calculatedColumnFormula>SUMIFS(Gasto_Detalle[[Total]:[Total]],Gasto_Detalle[[Subcategoria]:[Subcategoria]],$A16,Gasto_Detalle[[Mes]:[Mes]],K$3)</calculatedColumnFormula>
    </tableColumn>
    <tableColumn id="10" xr3:uid="{4A89671D-813D-4C35-A4C5-75DA8FA87AAE}" name="Columna10">
      <calculatedColumnFormula>SUMIFS(Gasto_Detalle[[Total]:[Total]],Gasto_Detalle[[Subcategoria]:[Subcategoria]],$A16,Gasto_Detalle[[Mes]:[Mes]],L$3)</calculatedColumnFormula>
    </tableColumn>
    <tableColumn id="11" xr3:uid="{1954CB81-95EA-4D9B-8E53-408B74F0F9D3}" name="Columna11">
      <calculatedColumnFormula>SUMIFS(Gasto_Detalle[[Total]:[Total]],Gasto_Detalle[[Subcategoria]:[Subcategoria]],$A16,Gasto_Detalle[[Mes]:[Mes]],M$3)</calculatedColumnFormula>
    </tableColumn>
    <tableColumn id="12" xr3:uid="{41864ABA-A71F-44B9-B20B-1391A7D62194}" name="Columna12">
      <calculatedColumnFormula>SUMIFS(Gasto_Detalle[[Total]:[Total]],Gasto_Detalle[[Subcategoria]:[Subcategoria]],$A16,Gasto_Detalle[[Mes]:[Mes]],N$3)</calculatedColumnFormula>
    </tableColumn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512D866-7D15-4944-948A-5CEBECB197F5}" name="Servicios de Hogar" displayName="Servicios_de_Hogar" ref="C20:N20" headerRowCount="0" totalsRowShown="0" dataDxfId="74" tableBorderDxfId="73">
  <tableColumns count="12">
    <tableColumn id="1" xr3:uid="{8881EBEF-9C6B-4685-8573-8B88EFED7CC5}" name="Columna1" dataDxfId="72">
      <calculatedColumnFormula>SUMIFS(Gasto_Detalle[[Total]:[Total]],Gasto_Detalle[[Subcategoria]:[Subcategoria]],$A20,Gasto_Detalle[[Mes]:[Mes]],C$3)</calculatedColumnFormula>
    </tableColumn>
    <tableColumn id="2" xr3:uid="{8381F60A-9A19-43CB-9F9D-FD43EE07A7E3}" name="Columna2" dataDxfId="71">
      <calculatedColumnFormula>SUMIFS(Gasto_Detalle[[Total]:[Total]],Gasto_Detalle[[Subcategoria]:[Subcategoria]],$A20,Gasto_Detalle[[Mes]:[Mes]],D$3)</calculatedColumnFormula>
    </tableColumn>
    <tableColumn id="3" xr3:uid="{24DFDCFC-FBEE-4761-924C-22B6ACAB6A57}" name="Columna3" dataDxfId="70">
      <calculatedColumnFormula>SUMIFS(Gasto_Detalle[[Total]:[Total]],Gasto_Detalle[[Subcategoria]:[Subcategoria]],$A20,Gasto_Detalle[[Mes]:[Mes]],E$3)</calculatedColumnFormula>
    </tableColumn>
    <tableColumn id="4" xr3:uid="{188112C3-8D08-44C0-9CD7-149C957A4F88}" name="Columna4" dataDxfId="69">
      <calculatedColumnFormula>SUMIFS(Gasto_Detalle[[Total]:[Total]],Gasto_Detalle[[Subcategoria]:[Subcategoria]],$A20,Gasto_Detalle[[Mes]:[Mes]],F$3)</calculatedColumnFormula>
    </tableColumn>
    <tableColumn id="5" xr3:uid="{5D198311-7283-4605-8380-DDB8AA862C09}" name="Columna5" dataDxfId="68">
      <calculatedColumnFormula>SUMIFS(Gasto_Detalle[[Total]:[Total]],Gasto_Detalle[[Subcategoria]:[Subcategoria]],$A20,Gasto_Detalle[[Mes]:[Mes]],G$3)</calculatedColumnFormula>
    </tableColumn>
    <tableColumn id="6" xr3:uid="{E3025758-109C-4490-AE02-567B2BC5ED80}" name="Columna6" dataDxfId="67">
      <calculatedColumnFormula>SUMIFS(Gasto_Detalle[[Total]:[Total]],Gasto_Detalle[[Subcategoria]:[Subcategoria]],$A20,Gasto_Detalle[[Mes]:[Mes]],H$3)</calculatedColumnFormula>
    </tableColumn>
    <tableColumn id="7" xr3:uid="{88DCDC5F-027B-44D8-A326-317F0A415011}" name="Columna7" dataDxfId="66">
      <calculatedColumnFormula>SUMIFS(Gasto_Detalle[[Total]:[Total]],Gasto_Detalle[[Subcategoria]:[Subcategoria]],$A20,Gasto_Detalle[[Mes]:[Mes]],I$3)</calculatedColumnFormula>
    </tableColumn>
    <tableColumn id="8" xr3:uid="{D11A980A-60C9-4831-B611-5F1E1E8B5648}" name="Columna8" dataDxfId="65">
      <calculatedColumnFormula>SUMIFS(Gasto_Detalle[[Total]:[Total]],Gasto_Detalle[[Subcategoria]:[Subcategoria]],$A20,Gasto_Detalle[[Mes]:[Mes]],J$3)</calculatedColumnFormula>
    </tableColumn>
    <tableColumn id="9" xr3:uid="{BBB0AD09-8688-48EB-B58A-42D24A00937F}" name="Columna9" dataDxfId="64">
      <calculatedColumnFormula>SUMIFS(Gasto_Detalle[[Total]:[Total]],Gasto_Detalle[[Subcategoria]:[Subcategoria]],$A20,Gasto_Detalle[[Mes]:[Mes]],K$3)</calculatedColumnFormula>
    </tableColumn>
    <tableColumn id="10" xr3:uid="{EAF3B749-DB5D-450F-BEE5-287FD7B7870E}" name="Columna10" dataDxfId="63">
      <calculatedColumnFormula>SUMIFS(Gasto_Detalle[[Total]:[Total]],Gasto_Detalle[[Subcategoria]:[Subcategoria]],$A20,Gasto_Detalle[[Mes]:[Mes]],L$3)</calculatedColumnFormula>
    </tableColumn>
    <tableColumn id="11" xr3:uid="{AF3C77E2-D89A-45E6-BB5D-995C9504CC42}" name="Columna11" dataDxfId="62">
      <calculatedColumnFormula>SUMIFS(Gasto_Detalle[[Total]:[Total]],Gasto_Detalle[[Subcategoria]:[Subcategoria]],$A20,Gasto_Detalle[[Mes]:[Mes]],M$3)</calculatedColumnFormula>
    </tableColumn>
    <tableColumn id="12" xr3:uid="{D3F65D0D-5644-449B-83F7-ACCB8BC81846}" name="Columna12" dataDxfId="61">
      <calculatedColumnFormula>SUMIFS(Gasto_Detalle[[Total]:[Total]],Gasto_Detalle[[Subcategoria]:[Subcategoria]],$A20,Gasto_Detalle[[Mes]:[Mes]],N$3)</calculatedColumnFormula>
    </tableColumn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471DD7-3C75-45E1-A0DB-947863D0B6A6}" name="Otros" displayName="Otros" ref="C22:N23" headerRowCount="0" totalsRowShown="0">
  <tableColumns count="12">
    <tableColumn id="1" xr3:uid="{7CC06679-34A8-4BFB-BF1E-2B48A0D85C7C}" name="Columna1">
      <calculatedColumnFormula>SUMIFS(Gasto_Detalle[[Total]:[Total]],Gasto_Detalle[[Subcategoria]:[Subcategoria]],$A22,Gasto_Detalle[[Mes]:[Mes]],C$3)</calculatedColumnFormula>
    </tableColumn>
    <tableColumn id="2" xr3:uid="{F5941E24-F3B1-48CB-B895-A6522BF25070}" name="Columna2">
      <calculatedColumnFormula>SUMIFS(Gasto_Detalle[[Total]:[Total]],Gasto_Detalle[[Subcategoria]:[Subcategoria]],$A22,Gasto_Detalle[[Mes]:[Mes]],D$3)</calculatedColumnFormula>
    </tableColumn>
    <tableColumn id="3" xr3:uid="{217A4612-7695-4060-B47C-2561BF06D282}" name="Columna3">
      <calculatedColumnFormula>SUMIFS(Gasto_Detalle[[Total]:[Total]],Gasto_Detalle[[Subcategoria]:[Subcategoria]],$A22,Gasto_Detalle[[Mes]:[Mes]],E$3)</calculatedColumnFormula>
    </tableColumn>
    <tableColumn id="4" xr3:uid="{4FB6D3AA-074A-42D3-850C-F844A9EDD0E2}" name="Columna4">
      <calculatedColumnFormula>SUMIFS(Gasto_Detalle[[Total]:[Total]],Gasto_Detalle[[Subcategoria]:[Subcategoria]],$A22,Gasto_Detalle[[Mes]:[Mes]],F$3)</calculatedColumnFormula>
    </tableColumn>
    <tableColumn id="5" xr3:uid="{8257A9B7-859C-4307-9909-FA1387BC7AA4}" name="Columna5">
      <calculatedColumnFormula>SUMIFS(Gasto_Detalle[[Total]:[Total]],Gasto_Detalle[[Subcategoria]:[Subcategoria]],$A22,Gasto_Detalle[[Mes]:[Mes]],G$3)</calculatedColumnFormula>
    </tableColumn>
    <tableColumn id="6" xr3:uid="{9E6A1B35-364C-42D1-8F80-6D3B6E3DE759}" name="Columna6">
      <calculatedColumnFormula>SUMIFS(Gasto_Detalle[[Total]:[Total]],Gasto_Detalle[[Subcategoria]:[Subcategoria]],$A22,Gasto_Detalle[[Mes]:[Mes]],H$3)</calculatedColumnFormula>
    </tableColumn>
    <tableColumn id="7" xr3:uid="{0DE7068D-3CDE-4CB9-8B72-945B611503B6}" name="Columna7">
      <calculatedColumnFormula>SUMIFS(Gasto_Detalle[[Total]:[Total]],Gasto_Detalle[[Subcategoria]:[Subcategoria]],$A22,Gasto_Detalle[[Mes]:[Mes]],I$3)</calculatedColumnFormula>
    </tableColumn>
    <tableColumn id="8" xr3:uid="{0E6AC776-B2F4-4F5C-8E8D-1444974DCF38}" name="Columna8">
      <calculatedColumnFormula>SUMIFS(Gasto_Detalle[[Total]:[Total]],Gasto_Detalle[[Subcategoria]:[Subcategoria]],$A22,Gasto_Detalle[[Mes]:[Mes]],J$3)</calculatedColumnFormula>
    </tableColumn>
    <tableColumn id="9" xr3:uid="{8807E7ED-E9BA-4900-B37C-EF21B76FCCB1}" name="Columna9">
      <calculatedColumnFormula>SUMIFS(Gasto_Detalle[[Total]:[Total]],Gasto_Detalle[[Subcategoria]:[Subcategoria]],$A22,Gasto_Detalle[[Mes]:[Mes]],K$3)</calculatedColumnFormula>
    </tableColumn>
    <tableColumn id="10" xr3:uid="{160F893E-A390-4934-9CC6-A98FD6BA8AFA}" name="Columna10">
      <calculatedColumnFormula>SUMIFS(Gasto_Detalle[[Total]:[Total]],Gasto_Detalle[[Subcategoria]:[Subcategoria]],$A22,Gasto_Detalle[[Mes]:[Mes]],L$3)</calculatedColumnFormula>
    </tableColumn>
    <tableColumn id="11" xr3:uid="{0DC4583E-CA19-4D10-BFEE-D9FC84DC4A48}" name="Columna11">
      <calculatedColumnFormula>SUMIFS(Gasto_Detalle[[Total]:[Total]],Gasto_Detalle[[Subcategoria]:[Subcategoria]],$A22,Gasto_Detalle[[Mes]:[Mes]],M$3)</calculatedColumnFormula>
    </tableColumn>
    <tableColumn id="12" xr3:uid="{EE0A6D2B-4D7C-4D8A-A8B9-66DA00DE2615}" name="Columna12">
      <calculatedColumnFormula>SUMIFS(Gasto_Detalle[[Total]:[Total]],Gasto_Detalle[[Subcategoria]:[Subcategoria]],$A22,Gasto_Detalle[[Mes]:[Mes]],N$3)</calculatedColumnFormula>
    </tableColumn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5D59963-E5AF-4A1A-A778-474B61E084B0}" name="Casa" displayName="Casa" ref="C25:N25" headerRowCount="0" totalsRowShown="0" dataDxfId="60" tableBorderDxfId="59">
  <tableColumns count="12">
    <tableColumn id="1" xr3:uid="{9454CF04-1D6C-4333-BE94-219A126FEA7A}" name="Columna1" dataDxfId="58">
      <calculatedColumnFormula>SUMIFS(Gasto_Detalle[[Total]:[Total]],Gasto_Detalle[[Subcategoria]:[Subcategoria]],$A25,Gasto_Detalle[[Mes]:[Mes]],C$3)</calculatedColumnFormula>
    </tableColumn>
    <tableColumn id="2" xr3:uid="{103FC838-9BA6-488C-9A86-168065D66A87}" name="Columna2" dataDxfId="57">
      <calculatedColumnFormula>SUMIFS(Gasto_Detalle[[Total]:[Total]],Gasto_Detalle[[Subcategoria]:[Subcategoria]],$A25,Gasto_Detalle[[Mes]:[Mes]],D$3)</calculatedColumnFormula>
    </tableColumn>
    <tableColumn id="3" xr3:uid="{1AA43540-C29B-4B39-B400-17A195037592}" name="Columna3" dataDxfId="56">
      <calculatedColumnFormula>SUMIFS(Gasto_Detalle[[Total]:[Total]],Gasto_Detalle[[Subcategoria]:[Subcategoria]],$A25,Gasto_Detalle[[Mes]:[Mes]],E$3)</calculatedColumnFormula>
    </tableColumn>
    <tableColumn id="4" xr3:uid="{77394E60-AD87-434D-B4C0-F4AA909D4E80}" name="Columna4" dataDxfId="55">
      <calculatedColumnFormula>SUMIFS(Gasto_Detalle[[Total]:[Total]],Gasto_Detalle[[Subcategoria]:[Subcategoria]],$A25,Gasto_Detalle[[Mes]:[Mes]],F$3)</calculatedColumnFormula>
    </tableColumn>
    <tableColumn id="5" xr3:uid="{2F8E14CA-6405-4AC3-8800-3EBE7420DA2E}" name="Columna5" dataDxfId="54">
      <calculatedColumnFormula>SUMIFS(Gasto_Detalle[[Total]:[Total]],Gasto_Detalle[[Subcategoria]:[Subcategoria]],$A25,Gasto_Detalle[[Mes]:[Mes]],G$3)</calculatedColumnFormula>
    </tableColumn>
    <tableColumn id="6" xr3:uid="{7507450B-50C9-4138-BAD0-FC5148272AF5}" name="Columna6" dataDxfId="53">
      <calculatedColumnFormula>SUMIFS(Gasto_Detalle[[Total]:[Total]],Gasto_Detalle[[Subcategoria]:[Subcategoria]],$A25,Gasto_Detalle[[Mes]:[Mes]],H$3)</calculatedColumnFormula>
    </tableColumn>
    <tableColumn id="7" xr3:uid="{605B3160-242F-409C-9A4D-162574567F06}" name="Columna7" dataDxfId="52">
      <calculatedColumnFormula>SUMIFS(Gasto_Detalle[[Total]:[Total]],Gasto_Detalle[[Subcategoria]:[Subcategoria]],$A25,Gasto_Detalle[[Mes]:[Mes]],I$3)</calculatedColumnFormula>
    </tableColumn>
    <tableColumn id="8" xr3:uid="{B94A067A-C5DD-4744-9A22-B77BD6FCD921}" name="Columna8" dataDxfId="51">
      <calculatedColumnFormula>SUMIFS(Gasto_Detalle[[Total]:[Total]],Gasto_Detalle[[Subcategoria]:[Subcategoria]],$A25,Gasto_Detalle[[Mes]:[Mes]],J$3)</calculatedColumnFormula>
    </tableColumn>
    <tableColumn id="9" xr3:uid="{3AA94F92-6886-4619-A0AF-014C3021BA52}" name="Columna9" dataDxfId="50">
      <calculatedColumnFormula>SUMIFS(Gasto_Detalle[[Total]:[Total]],Gasto_Detalle[[Subcategoria]:[Subcategoria]],$A25,Gasto_Detalle[[Mes]:[Mes]],K$3)</calculatedColumnFormula>
    </tableColumn>
    <tableColumn id="10" xr3:uid="{17443EFE-8ACF-4628-94E0-A6BE5FA8C7EF}" name="Columna10" dataDxfId="49">
      <calculatedColumnFormula>SUMIFS(Gasto_Detalle[[Total]:[Total]],Gasto_Detalle[[Subcategoria]:[Subcategoria]],$A25,Gasto_Detalle[[Mes]:[Mes]],L$3)</calculatedColumnFormula>
    </tableColumn>
    <tableColumn id="11" xr3:uid="{CEA48C5A-4746-4485-BE76-55F67172234E}" name="Columna11" dataDxfId="48">
      <calculatedColumnFormula>SUMIFS(Gasto_Detalle[[Total]:[Total]],Gasto_Detalle[[Subcategoria]:[Subcategoria]],$A25,Gasto_Detalle[[Mes]:[Mes]],M$3)</calculatedColumnFormula>
    </tableColumn>
    <tableColumn id="12" xr3:uid="{5E9A4559-78D4-4242-B28E-DD6C313AF214}" name="Columna12" dataDxfId="47">
      <calculatedColumnFormula>SUMIFS(Gasto_Detalle[[Total]:[Total]],Gasto_Detalle[[Subcategoria]:[Subcategoria]],$A25,Gasto_Detalle[[Mes]:[Mes]],N$3)</calculatedColumnFormula>
    </tableColumn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841500D-4D1A-4D4C-BECA-144726B217F1}" name="nGastos" displayName="nGastos" ref="C29:N31" headerRowCount="0" totalsRowShown="0">
  <tableColumns count="12">
    <tableColumn id="1" xr3:uid="{E427FA17-C5CE-4755-914C-CF60E5664F92}" name="Columna1" dataDxfId="46">
      <calculatedColumnFormula>-1*SUMIFS(Gasto_Detalle[[Total]:[Total]],Gasto_Detalle[[Mes]:[Mes]],C$3)</calculatedColumnFormula>
    </tableColumn>
    <tableColumn id="2" xr3:uid="{40136C53-AA79-4162-8473-CB862B6FAD24}" name="Columna2" dataDxfId="45">
      <calculatedColumnFormula>-1*SUMIFS(Gasto_Detalle[[Total]:[Total]],Gasto_Detalle[[Mes]:[Mes]],D$3)</calculatedColumnFormula>
    </tableColumn>
    <tableColumn id="3" xr3:uid="{0666BEF7-A930-41F3-9CD9-4239AC18D151}" name="Columna3" dataDxfId="44">
      <calculatedColumnFormula>-1*SUMIFS(Gasto_Detalle[[Total]:[Total]],Gasto_Detalle[[Mes]:[Mes]],E$3)</calculatedColumnFormula>
    </tableColumn>
    <tableColumn id="4" xr3:uid="{A4410BB3-752A-466F-B0E1-06A2C2101200}" name="Columna4" dataDxfId="43">
      <calculatedColumnFormula>-1*SUMIFS(Gasto_Detalle[[Total]:[Total]],Gasto_Detalle[[Mes]:[Mes]],F$3)</calculatedColumnFormula>
    </tableColumn>
    <tableColumn id="5" xr3:uid="{52B29EC2-92C0-4630-9459-0E80EC216FC7}" name="Columna5" dataDxfId="42">
      <calculatedColumnFormula>-1*SUMIFS(Gasto_Detalle[[Total]:[Total]],Gasto_Detalle[[Mes]:[Mes]],G$3)</calculatedColumnFormula>
    </tableColumn>
    <tableColumn id="6" xr3:uid="{3C685B82-914F-4685-9286-928CEF343078}" name="Columna6" dataDxfId="41">
      <calculatedColumnFormula>-1*SUMIFS(Gasto_Detalle[[Total]:[Total]],Gasto_Detalle[[Mes]:[Mes]],H$3)</calculatedColumnFormula>
    </tableColumn>
    <tableColumn id="7" xr3:uid="{8F4234F2-6F70-4792-BFB6-DBBAF4CBD290}" name="Columna7" dataDxfId="40">
      <calculatedColumnFormula>-1*SUMIFS(Gasto_Detalle[[Total]:[Total]],Gasto_Detalle[[Mes]:[Mes]],I$3)</calculatedColumnFormula>
    </tableColumn>
    <tableColumn id="8" xr3:uid="{4027EDE4-5B7C-4024-B561-71A939FE1490}" name="Columna8" dataDxfId="39">
      <calculatedColumnFormula>-1*SUMIFS(Gasto_Detalle[[Total]:[Total]],Gasto_Detalle[[Mes]:[Mes]],J$3)</calculatedColumnFormula>
    </tableColumn>
    <tableColumn id="9" xr3:uid="{8429B8C9-F818-4EAC-82DA-37DDA52AB5D4}" name="Columna9" dataDxfId="38">
      <calculatedColumnFormula>-1*SUMIFS(Gasto_Detalle[[Total]:[Total]],Gasto_Detalle[[Mes]:[Mes]],K$3)</calculatedColumnFormula>
    </tableColumn>
    <tableColumn id="10" xr3:uid="{D431DAAE-14B7-4036-B747-161696C33CF7}" name="Columna10" dataDxfId="37">
      <calculatedColumnFormula>-1*SUMIFS(Gasto_Detalle[[Total]:[Total]],Gasto_Detalle[[Mes]:[Mes]],L$3)</calculatedColumnFormula>
    </tableColumn>
    <tableColumn id="11" xr3:uid="{5E66900D-BA3E-4D20-85D2-FCF8C6DAE627}" name="Columna11" dataDxfId="36">
      <calculatedColumnFormula>-1*SUMIFS(Gasto_Detalle[[Total]:[Total]],Gasto_Detalle[[Mes]:[Mes]],M$3)</calculatedColumnFormula>
    </tableColumn>
    <tableColumn id="12" xr3:uid="{1FE6FD9A-ECC5-4DF7-9405-BFEF23AADBA3}" name="Columna12" dataDxfId="35">
      <calculatedColumnFormula>-1*SUMIFS(Gasto_Detalle[[Total]:[Total]],Gasto_Detalle[[Mes]:[Mes]],N$3)</calculatedColumnFormula>
    </tableColumn>
  </tableColumns>
  <tableStyleInfo name="TableStyleLight1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24FAB24-7BB9-41D9-B459-5735083002AB}" name="nIngresos" displayName="nIngresos" ref="C34:N36" headerRowCount="0" totalsRowShown="0">
  <tableColumns count="12">
    <tableColumn id="1" xr3:uid="{BC4E1AC7-4C39-46BC-8571-3EBA03DB769C}" name="Columna1" dataDxfId="34">
      <calculatedColumnFormula>SUMIFS(Ingreso_Detalle[[Total Neto]:[Total Neto]],Ingreso_Detalle[[Mes]:[Mes]],C$3)</calculatedColumnFormula>
    </tableColumn>
    <tableColumn id="2" xr3:uid="{F69744E1-523F-449C-90F1-75B4D218FEA0}" name="Columna2" dataDxfId="33">
      <calculatedColumnFormula>SUMIFS(Ingreso_Detalle[[Total Neto]:[Total Neto]],Ingreso_Detalle[[Mes]:[Mes]],D$3)</calculatedColumnFormula>
    </tableColumn>
    <tableColumn id="3" xr3:uid="{268FA74C-3C92-4C48-907B-9C304EC3D7D8}" name="Columna3" dataDxfId="32">
      <calculatedColumnFormula>SUMIFS(Ingreso_Detalle[[Total Neto]:[Total Neto]],Ingreso_Detalle[[Mes]:[Mes]],E$3)</calculatedColumnFormula>
    </tableColumn>
    <tableColumn id="4" xr3:uid="{8C9E2500-5828-4968-84F7-1B8EBD6616AE}" name="Columna4" dataDxfId="31">
      <calculatedColumnFormula>SUMIFS(Ingreso_Detalle[[Total Neto]:[Total Neto]],Ingreso_Detalle[[Mes]:[Mes]],F$3)</calculatedColumnFormula>
    </tableColumn>
    <tableColumn id="5" xr3:uid="{83626BC2-50E6-42ED-88BD-65C5ED094049}" name="Columna5" dataDxfId="30">
      <calculatedColumnFormula>SUMIFS(Ingreso_Detalle[[Total Neto]:[Total Neto]],Ingreso_Detalle[[Mes]:[Mes]],G$3)</calculatedColumnFormula>
    </tableColumn>
    <tableColumn id="6" xr3:uid="{0C26C0D1-1D18-45BA-AEF0-D7EFDE5A80C7}" name="Columna6" dataDxfId="29">
      <calculatedColumnFormula>SUMIFS(Ingreso_Detalle[[Total Neto]:[Total Neto]],Ingreso_Detalle[[Mes]:[Mes]],H$3)</calculatedColumnFormula>
    </tableColumn>
    <tableColumn id="7" xr3:uid="{8B3DC3D3-C917-4C19-BC92-1173111DF1FA}" name="Columna7" dataDxfId="28">
      <calculatedColumnFormula>SUMIFS(Ingreso_Detalle[[Total Neto]:[Total Neto]],Ingreso_Detalle[[Mes]:[Mes]],I$3)</calculatedColumnFormula>
    </tableColumn>
    <tableColumn id="8" xr3:uid="{BDCDC3AF-B77C-42D0-AEB8-88B039D07A52}" name="Columna8" dataDxfId="27">
      <calculatedColumnFormula>SUMIFS(Ingreso_Detalle[[Total Neto]:[Total Neto]],Ingreso_Detalle[[Mes]:[Mes]],J$3)</calculatedColumnFormula>
    </tableColumn>
    <tableColumn id="9" xr3:uid="{3AB2411D-5075-4E2C-AFD1-D77B314F7423}" name="Columna9" dataDxfId="26">
      <calculatedColumnFormula>SUMIFS(Ingreso_Detalle[[Total Neto]:[Total Neto]],Ingreso_Detalle[[Mes]:[Mes]],K$3)</calculatedColumnFormula>
    </tableColumn>
    <tableColumn id="10" xr3:uid="{4E7BF3AD-B8FF-49A9-8558-5F2C506760B7}" name="Columna10" dataDxfId="25">
      <calculatedColumnFormula>SUMIFS(Ingreso_Detalle[[Total Neto]:[Total Neto]],Ingreso_Detalle[[Mes]:[Mes]],L$3)</calculatedColumnFormula>
    </tableColumn>
    <tableColumn id="11" xr3:uid="{78156E50-312F-4854-AC6C-C01A4657AC30}" name="Columna11" dataDxfId="24">
      <calculatedColumnFormula>SUMIFS(Ingreso_Detalle[[Total Neto]:[Total Neto]],Ingreso_Detalle[[Mes]:[Mes]],M$3)</calculatedColumnFormula>
    </tableColumn>
    <tableColumn id="12" xr3:uid="{733A6B75-4D97-442D-A61D-085742735245}" name="Columna12" dataDxfId="23">
      <calculatedColumnFormula>SUMIFS(Ingreso_Detalle[[Total Neto]:[Total Neto]],Ingreso_Detalle[[Mes]:[Mes]],N$3)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E6C287-5E38-420A-BD3A-B50B6311C160}" name="Gasto_Detalle" displayName="Gasto_Detalle" ref="A1:J7" totalsRowShown="0">
  <autoFilter ref="A1:J7" xr:uid="{78FD10D0-E9CD-4CBB-84FE-0E393CEFCF34}"/>
  <sortState xmlns:xlrd2="http://schemas.microsoft.com/office/spreadsheetml/2017/richdata2" ref="A2:I7">
    <sortCondition ref="E1:E7"/>
  </sortState>
  <tableColumns count="10">
    <tableColumn id="1" xr3:uid="{45101818-93F4-4E9A-ABFE-6CC878377630}" name="Mes" dataDxfId="22">
      <calculatedColumnFormula>TEXT(Gasto_Detalle[[#This Row],[Fecha]],"MMMM")</calculatedColumnFormula>
    </tableColumn>
    <tableColumn id="8" xr3:uid="{003B7A63-2A85-4B36-9B43-6DE43FEA9915}" name="Concepto"/>
    <tableColumn id="2" xr3:uid="{F9B1BF24-0A44-4AB1-A52F-F5FF80C8296F}" name="Categoria"/>
    <tableColumn id="7" xr3:uid="{5E37CF12-D22A-40B2-9FEA-C96339D591ED}" name="Subcategoria"/>
    <tableColumn id="5" xr3:uid="{5C8BF2D6-1DB6-4390-A2CE-E50BF4A13510}" name="Fecha" dataDxfId="21"/>
    <tableColumn id="6" xr3:uid="{D68086A7-F52A-410B-93E5-17CB7632C728}" name="Lugar"/>
    <tableColumn id="3" xr3:uid="{B984ACBA-7FB8-4C88-B96B-33FFFB3B3E10}" name="Descripcion"/>
    <tableColumn id="4" xr3:uid="{667A3DED-2835-4A30-8B39-DD30C15011DE}" name="Total"/>
    <tableColumn id="9" xr3:uid="{014E6D1A-5507-4CC7-8DC0-C874F5589118}" name="Recurrente" dataDxfId="20"/>
    <tableColumn id="10" xr3:uid="{9180DB77-4D15-4FB9-B09D-DF12A6ABF727}" name="Presupuesto" dataDxfId="19">
      <calculatedColumnFormula>IFERROR(INDEX(Lista_Subcategorias_Gastos[Presupuesto],MATCH(Gasto_Detalle[[#This Row],[Subcategoria]],Lista_Subcategorias_Gastos[[#This Row],[Subcategoria]],0),1),"")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329A03C-48D0-406C-849B-D8B4B1889618}" name="Ingreso_Detalle" displayName="Ingreso_Detalle" ref="L1:V2" totalsRowShown="0">
  <autoFilter ref="L1:V2" xr:uid="{99BD0D31-09B8-44EF-BF22-1A378D05DC78}"/>
  <tableColumns count="11">
    <tableColumn id="1" xr3:uid="{41407234-C09D-4249-B7CD-3919AEBB85C4}" name="Mes" dataDxfId="18">
      <calculatedColumnFormula>TEXT(Ingreso_Detalle[[#This Row],[Fecha]],"MMMM")</calculatedColumnFormula>
    </tableColumn>
    <tableColumn id="8" xr3:uid="{1D7D54A8-463A-4E80-8987-4AB437AD7436}" name="Concepto"/>
    <tableColumn id="2" xr3:uid="{0E15E0A3-10E1-4F5D-AA97-AD9393DBF20B}" name="Categoria"/>
    <tableColumn id="7" xr3:uid="{F316AAB6-D3A1-44EA-9A11-59B0175D3C0E}" name="Subcategoria"/>
    <tableColumn id="5" xr3:uid="{CD0F2BA2-09DB-4B3B-BAA7-717BBBC2C39D}" name="Fecha" dataDxfId="0"/>
    <tableColumn id="6" xr3:uid="{A2B50AEC-D8A8-4DA2-B1F9-1FAEB2315D23}" name="Lugar"/>
    <tableColumn id="3" xr3:uid="{73C95959-6498-4C8C-9F4F-AD17C5CF8A84}" name="Descripcion"/>
    <tableColumn id="4" xr3:uid="{6D9AC87B-05C6-4A92-9A5F-C37CCFAEC2E8}" name="Total"/>
    <tableColumn id="9" xr3:uid="{92F60F48-3EDD-489F-9749-61629149B070}" name="Descuentos" dataDxfId="17">
      <calculatedColumnFormula>IF(Ingreso_Detalle[[#This Row],[Categoria]]="Salario",Ingreso_Detalle[[#This Row],[Total]]*Tabla7[[#Totals],[Porcentaje]],0)</calculatedColumnFormula>
    </tableColumn>
    <tableColumn id="10" xr3:uid="{F3F00655-86A1-480D-9768-D0323D933BB9}" name="Total Neto" dataDxfId="16">
      <calculatedColumnFormula>Ingreso_Detalle[[#This Row],[Total]]-Ingreso_Detalle[[#This Row],[Descuentos]]</calculatedColumnFormula>
    </tableColumn>
    <tableColumn id="11" xr3:uid="{F2DC8791-AA1B-4750-8FF2-F1B7C7719517}" name="Recurrent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FFD0FBD-175B-4513-854E-AB36FAFDE7AD}" name="Balances" displayName="Balances" ref="X1:AA13" totalsRowShown="0">
  <autoFilter ref="X1:AA13" xr:uid="{B4DE4DB2-3191-464F-BAD6-54D01F716E23}"/>
  <tableColumns count="4">
    <tableColumn id="1" xr3:uid="{220F80F9-FDB2-4F1A-AB70-422C09212843}" name="Mes"/>
    <tableColumn id="2" xr3:uid="{AE83AA65-CBB0-45E8-A25A-7AC652B66575}" name="Total Ingreso" dataDxfId="15">
      <calculatedColumnFormula>SUMIF(Ingreso_Detalle[Mes],Balances[[#This Row],[Mes]],Ingreso_Detalle[Total Neto])</calculatedColumnFormula>
    </tableColumn>
    <tableColumn id="3" xr3:uid="{32080DC8-5B90-474F-B5DF-6C2746D59924}" name="Total Gastos" dataDxfId="14">
      <calculatedColumnFormula>SUMIF(Gasto_Detalle[Mes],Balances[[#This Row],[Mes]],Gasto_Detalle[Total])*-1</calculatedColumnFormula>
    </tableColumn>
    <tableColumn id="4" xr3:uid="{4A2AAFB6-6906-4DBB-820F-E308CF63592C}" name="Balance" dataDxfId="13">
      <calculatedColumnFormula>Balances[[#This Row],[Total Ingreso]]+Balances[[#This Row],[Total Gastos]]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7F7103-73A9-427E-BF4E-FB45158F4C4E}" name="Lista_Subcategorias_Gastos" displayName="Lista_Subcategorias_Gastos" ref="H1:J9" totalsRowShown="0">
  <autoFilter ref="H1:J9" xr:uid="{0E16865C-6664-4C37-A1FB-061D18D95431}"/>
  <tableColumns count="3">
    <tableColumn id="1" xr3:uid="{DA846C42-B88C-4411-A3CC-DD6B5AB1F237}" name="Categoria"/>
    <tableColumn id="2" xr3:uid="{9D4FFBF9-3D03-4F90-8C7F-82D23EE33BE3}" name="Subcategoria"/>
    <tableColumn id="3" xr3:uid="{6EA8D853-94E4-4D5A-8029-0415864F6963}" name="Presupuesto" dataCellStyle="Moneda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C190089-3D5B-49F3-B46C-9C6F27249339}" name="Lista_Categorias_Gastos" displayName="Lista_Categorias_Gastos" ref="F1:F7" totalsRowShown="0">
  <autoFilter ref="F1:F7" xr:uid="{0331BDEA-AC89-4DC0-9424-04BF4D7835B2}"/>
  <tableColumns count="1">
    <tableColumn id="1" xr3:uid="{C749DADF-761D-4863-B806-FA701CCCADD7}" name="Categoria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5CDB284-1A4C-4907-8C19-50C0029168C1}" name="Lista_Categorias_Ingresos" displayName="Lista_Categorias_Ingresos" ref="A1:A4" totalsRowShown="0">
  <autoFilter ref="A1:A4" xr:uid="{F65C6FC8-969A-40CB-9A54-6344234CAF0F}"/>
  <tableColumns count="1">
    <tableColumn id="1" xr3:uid="{1E82A882-CD15-43C2-93EE-FF05E22FA312}" name="Categoria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3F38C17-8054-44E4-BBA6-C2FDEC91D629}" name="Lista_Subcategorias_Ingresos" displayName="Lista_Subcategorias_Ingresos" ref="C1:D5" totalsRowShown="0">
  <autoFilter ref="C1:D5" xr:uid="{B93ADCC0-4FFE-4068-B9C0-C6C3FCF86A6E}"/>
  <tableColumns count="2">
    <tableColumn id="1" xr3:uid="{F36EAD87-ECF1-424F-89BA-F1E1D75D590E}" name="Categoria"/>
    <tableColumn id="2" xr3:uid="{24F67C32-DEAD-4919-9C54-05C92D770F04}" name="Subcategoria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7DEA289-3429-4D28-AAB1-3C0BECA0B134}" name="Tabla7" displayName="Tabla7" ref="L1:M5" totalsRowCount="1">
  <autoFilter ref="L1:M4" xr:uid="{08C66B98-6A9B-41F2-99DA-08F4424A464A}"/>
  <tableColumns count="2">
    <tableColumn id="1" xr3:uid="{438200D5-0C24-4274-AC4B-4B0CAE9EC8A8}" name="Descuento" totalsRowLabel="Total"/>
    <tableColumn id="2" xr3:uid="{4D15C360-F471-42EC-9FF2-55669BCED6D0}" name="Porcentaje" totalsRowFunction="sum" dataDxfId="1" dataCellStyle="Porcentaje" totalsRowCellStyle="Porce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.xml"/><Relationship Id="rId18" Type="http://schemas.openxmlformats.org/officeDocument/2006/relationships/table" Target="../tables/table7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17" Type="http://schemas.openxmlformats.org/officeDocument/2006/relationships/table" Target="../tables/table6.xml"/><Relationship Id="rId2" Type="http://schemas.openxmlformats.org/officeDocument/2006/relationships/drawing" Target="../drawings/drawing1.xml"/><Relationship Id="rId16" Type="http://schemas.openxmlformats.org/officeDocument/2006/relationships/table" Target="../tables/table5.xml"/><Relationship Id="rId20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table" Target="../tables/table4.xml"/><Relationship Id="rId10" Type="http://schemas.openxmlformats.org/officeDocument/2006/relationships/control" Target="../activeX/activeX4.xml"/><Relationship Id="rId19" Type="http://schemas.openxmlformats.org/officeDocument/2006/relationships/table" Target="../tables/table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EA025-E9C6-4121-A91B-AB801033B934}">
  <sheetPr codeName="Hoja5"/>
  <dimension ref="A1:Z1000"/>
  <sheetViews>
    <sheetView showGridLines="0" topLeftCell="A3" workbookViewId="0">
      <selection activeCell="F6" sqref="F6"/>
    </sheetView>
  </sheetViews>
  <sheetFormatPr baseColWidth="10" defaultRowHeight="15" x14ac:dyDescent="0.25"/>
  <cols>
    <col min="1" max="1" width="27.42578125" style="23" customWidth="1"/>
    <col min="2" max="2" width="2.42578125" style="23" customWidth="1"/>
    <col min="3" max="3" width="13.28515625" style="23" customWidth="1"/>
    <col min="4" max="4" width="20.5703125" style="23" customWidth="1"/>
    <col min="5" max="10" width="13.28515625" style="23" customWidth="1"/>
    <col min="11" max="11" width="15.28515625" style="23" bestFit="1" customWidth="1"/>
    <col min="12" max="12" width="14.5703125" style="23" customWidth="1"/>
    <col min="13" max="13" width="14.7109375" style="23" bestFit="1" customWidth="1"/>
    <col min="14" max="14" width="14.5703125" style="23" customWidth="1"/>
    <col min="15" max="16384" width="11.42578125" style="23"/>
  </cols>
  <sheetData>
    <row r="1" spans="1:26" hidden="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</row>
    <row r="2" spans="1:26" hidden="1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ht="21" x14ac:dyDescent="0.25">
      <c r="A3"/>
      <c r="B3"/>
      <c r="C3" s="24" t="s">
        <v>47</v>
      </c>
      <c r="D3" s="24" t="s">
        <v>48</v>
      </c>
      <c r="E3" s="24" t="s">
        <v>49</v>
      </c>
      <c r="F3" s="24" t="s">
        <v>0</v>
      </c>
      <c r="G3" s="24" t="s">
        <v>1</v>
      </c>
      <c r="H3" s="24" t="s">
        <v>2</v>
      </c>
      <c r="I3" s="24" t="s">
        <v>3</v>
      </c>
      <c r="J3" s="24" t="s">
        <v>4</v>
      </c>
      <c r="K3" s="24" t="s">
        <v>5</v>
      </c>
      <c r="L3" s="24" t="s">
        <v>6</v>
      </c>
      <c r="M3" s="24" t="s">
        <v>8</v>
      </c>
      <c r="N3" s="24" t="s">
        <v>7</v>
      </c>
      <c r="O3"/>
      <c r="P3"/>
      <c r="Q3"/>
      <c r="R3"/>
      <c r="S3"/>
      <c r="T3"/>
      <c r="U3"/>
      <c r="V3"/>
      <c r="W3"/>
      <c r="X3"/>
      <c r="Y3"/>
      <c r="Z3"/>
    </row>
    <row r="4" spans="1:26" ht="15.75" x14ac:dyDescent="0.25">
      <c r="A4" s="29" t="s">
        <v>35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 t="s">
        <v>36</v>
      </c>
      <c r="B5"/>
      <c r="C5" s="13">
        <f>SUMIFS(Ingreso_Detalle[[Total Neto]:[Total Neto]],Ingreso_Detalle[[Subcategoria]:[Subcategoria]],$A5,Ingreso_Detalle[[Mes]:[Mes]],C$3)</f>
        <v>0</v>
      </c>
      <c r="D5" s="13">
        <f>SUMIFS(Ingreso_Detalle[[Total Neto]:[Total Neto]],Ingreso_Detalle[[Subcategoria]:[Subcategoria]],$A5,Ingreso_Detalle[[Mes]:[Mes]],D$3)</f>
        <v>0</v>
      </c>
      <c r="E5" s="13">
        <f>SUMIFS(Ingreso_Detalle[[Total Neto]:[Total Neto]],Ingreso_Detalle[[Subcategoria]:[Subcategoria]],$A5,Ingreso_Detalle[[Mes]:[Mes]],E$3)</f>
        <v>0</v>
      </c>
      <c r="F5" s="13">
        <f>SUMIFS(Ingreso_Detalle[[Total Neto]:[Total Neto]],Ingreso_Detalle[[Subcategoria]:[Subcategoria]],$A5,Ingreso_Detalle[[Mes]:[Mes]],F$3)</f>
        <v>0</v>
      </c>
      <c r="G5" s="13">
        <f>SUMIFS(Ingreso_Detalle[[Total Neto]:[Total Neto]],Ingreso_Detalle[[Subcategoria]:[Subcategoria]],$A5,Ingreso_Detalle[[Mes]:[Mes]],G$3)</f>
        <v>0</v>
      </c>
      <c r="H5" s="13">
        <f>SUMIFS(Ingreso_Detalle[[Total Neto]:[Total Neto]],Ingreso_Detalle[[Subcategoria]:[Subcategoria]],$A5,Ingreso_Detalle[[Mes]:[Mes]],H$3)</f>
        <v>0</v>
      </c>
      <c r="I5" s="13">
        <f>SUMIFS(Ingreso_Detalle[[Total Neto]:[Total Neto]],Ingreso_Detalle[[Subcategoria]:[Subcategoria]],$A5,Ingreso_Detalle[[Mes]:[Mes]],I$3)</f>
        <v>0</v>
      </c>
      <c r="J5" s="13">
        <f>SUMIFS(Ingreso_Detalle[[Total Neto]:[Total Neto]],Ingreso_Detalle[[Subcategoria]:[Subcategoria]],$A5,Ingreso_Detalle[[Mes]:[Mes]],J$3)</f>
        <v>0</v>
      </c>
      <c r="K5" s="13">
        <f>SUMIFS(Ingreso_Detalle[[Total Neto]:[Total Neto]],Ingreso_Detalle[[Subcategoria]:[Subcategoria]],$A5,Ingreso_Detalle[[Mes]:[Mes]],K$3)</f>
        <v>0</v>
      </c>
      <c r="L5" s="13">
        <f>SUMIFS(Ingreso_Detalle[[Total Neto]:[Total Neto]],Ingreso_Detalle[[Subcategoria]:[Subcategoria]],$A5,Ingreso_Detalle[[Mes]:[Mes]],L$3)</f>
        <v>0</v>
      </c>
      <c r="M5" s="13">
        <f>SUMIFS(Ingreso_Detalle[[Total Neto]:[Total Neto]],Ingreso_Detalle[[Subcategoria]:[Subcategoria]],$A5,Ingreso_Detalle[[Mes]:[Mes]],M$3)</f>
        <v>0</v>
      </c>
      <c r="N5" s="14">
        <f>SUMIFS(Ingreso_Detalle[[Total Neto]:[Total Neto]],Ingreso_Detalle[[Subcategoria]:[Subcategoria]],$A5,Ingreso_Detalle[[Mes]:[Mes]],N$3)</f>
        <v>0</v>
      </c>
      <c r="O5"/>
      <c r="P5"/>
      <c r="Q5"/>
      <c r="R5"/>
      <c r="S5"/>
      <c r="T5"/>
      <c r="U5"/>
      <c r="V5"/>
      <c r="W5"/>
      <c r="X5"/>
      <c r="Y5"/>
      <c r="Z5"/>
    </row>
    <row r="6" spans="1:26" x14ac:dyDescent="0.25">
      <c r="A6" t="s">
        <v>18</v>
      </c>
      <c r="B6"/>
      <c r="C6" s="15">
        <f>SUMIFS(Ingreso_Detalle[[Total Neto]:[Total Neto]],Ingreso_Detalle[[Subcategoria]:[Subcategoria]],$A6,Ingreso_Detalle[[Mes]:[Mes]],C$3)</f>
        <v>897.48571428000002</v>
      </c>
      <c r="D6" s="15">
        <f>SUMIFS(Ingreso_Detalle[[Total Neto]:[Total Neto]],Ingreso_Detalle[[Subcategoria]:[Subcategoria]],$A6,Ingreso_Detalle[[Mes]:[Mes]],D$3)</f>
        <v>0</v>
      </c>
      <c r="E6" s="15">
        <f>SUMIFS(Ingreso_Detalle[[Total Neto]:[Total Neto]],Ingreso_Detalle[[Subcategoria]:[Subcategoria]],$A6,Ingreso_Detalle[[Mes]:[Mes]],E$3)</f>
        <v>0</v>
      </c>
      <c r="F6" s="15">
        <f>SUMIFS(Ingreso_Detalle[[Total Neto]:[Total Neto]],Ingreso_Detalle[[Subcategoria]:[Subcategoria]],$A6,Ingreso_Detalle[[Mes]:[Mes]],F$3)</f>
        <v>0</v>
      </c>
      <c r="G6" s="15">
        <f>SUMIFS(Ingreso_Detalle[[Total Neto]:[Total Neto]],Ingreso_Detalle[[Subcategoria]:[Subcategoria]],$A6,Ingreso_Detalle[[Mes]:[Mes]],G$3)</f>
        <v>0</v>
      </c>
      <c r="H6" s="15">
        <f>SUMIFS(Ingreso_Detalle[[Total Neto]:[Total Neto]],Ingreso_Detalle[[Subcategoria]:[Subcategoria]],$A6,Ingreso_Detalle[[Mes]:[Mes]],H$3)</f>
        <v>0</v>
      </c>
      <c r="I6" s="15">
        <f>SUMIFS(Ingreso_Detalle[[Total Neto]:[Total Neto]],Ingreso_Detalle[[Subcategoria]:[Subcategoria]],$A6,Ingreso_Detalle[[Mes]:[Mes]],I$3)</f>
        <v>0</v>
      </c>
      <c r="J6" s="15">
        <f>SUMIFS(Ingreso_Detalle[[Total Neto]:[Total Neto]],Ingreso_Detalle[[Subcategoria]:[Subcategoria]],$A6,Ingreso_Detalle[[Mes]:[Mes]],J$3)</f>
        <v>0</v>
      </c>
      <c r="K6" s="15">
        <f>SUMIFS(Ingreso_Detalle[[Total Neto]:[Total Neto]],Ingreso_Detalle[[Subcategoria]:[Subcategoria]],$A6,Ingreso_Detalle[[Mes]:[Mes]],K$3)</f>
        <v>0</v>
      </c>
      <c r="L6" s="15">
        <f>SUMIFS(Ingreso_Detalle[[Total Neto]:[Total Neto]],Ingreso_Detalle[[Subcategoria]:[Subcategoria]],$A6,Ingreso_Detalle[[Mes]:[Mes]],L$3)</f>
        <v>0</v>
      </c>
      <c r="M6" s="15">
        <f>SUMIFS(Ingreso_Detalle[[Total Neto]:[Total Neto]],Ingreso_Detalle[[Subcategoria]:[Subcategoria]],$A6,Ingreso_Detalle[[Mes]:[Mes]],M$3)</f>
        <v>0</v>
      </c>
      <c r="N6" s="16">
        <f>SUMIFS(Ingreso_Detalle[[Total Neto]:[Total Neto]],Ingreso_Detalle[[Subcategoria]:[Subcategoria]],$A6,Ingreso_Detalle[[Mes]:[Mes]],N$3)</f>
        <v>0</v>
      </c>
      <c r="O6"/>
      <c r="P6"/>
      <c r="Q6"/>
      <c r="R6"/>
      <c r="S6"/>
      <c r="T6"/>
      <c r="U6"/>
      <c r="V6"/>
      <c r="W6"/>
      <c r="X6"/>
      <c r="Y6"/>
      <c r="Z6"/>
    </row>
    <row r="7" spans="1:26" ht="15.75" x14ac:dyDescent="0.25">
      <c r="A7" s="29" t="s">
        <v>15</v>
      </c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 t="s">
        <v>37</v>
      </c>
      <c r="B8"/>
      <c r="C8" s="13">
        <f>SUMIFS(Ingreso_Detalle[[Total Neto]:[Total Neto]],Ingreso_Detalle[[Subcategoria]:[Subcategoria]],$A8,Ingreso_Detalle[[Mes]:[Mes]],C$3)</f>
        <v>0</v>
      </c>
      <c r="D8" s="13">
        <f>SUMIFS(Ingreso_Detalle[[Total Neto]:[Total Neto]],Ingreso_Detalle[[Subcategoria]:[Subcategoria]],$A8,Ingreso_Detalle[[Mes]:[Mes]],D$3)</f>
        <v>0</v>
      </c>
      <c r="E8" s="13">
        <f>SUMIFS(Ingreso_Detalle[[Total Neto]:[Total Neto]],Ingreso_Detalle[[Subcategoria]:[Subcategoria]],$A8,Ingreso_Detalle[[Mes]:[Mes]],E$3)</f>
        <v>0</v>
      </c>
      <c r="F8" s="13">
        <f>SUMIFS(Ingreso_Detalle[[Total Neto]:[Total Neto]],Ingreso_Detalle[[Subcategoria]:[Subcategoria]],$A8,Ingreso_Detalle[[Mes]:[Mes]],F$3)</f>
        <v>0</v>
      </c>
      <c r="G8" s="13">
        <f>SUMIFS(Ingreso_Detalle[[Total Neto]:[Total Neto]],Ingreso_Detalle[[Subcategoria]:[Subcategoria]],$A8,Ingreso_Detalle[[Mes]:[Mes]],G$3)</f>
        <v>0</v>
      </c>
      <c r="H8" s="13">
        <f>SUMIFS(Ingreso_Detalle[[Total Neto]:[Total Neto]],Ingreso_Detalle[[Subcategoria]:[Subcategoria]],$A8,Ingreso_Detalle[[Mes]:[Mes]],H$3)</f>
        <v>0</v>
      </c>
      <c r="I8" s="13">
        <f>SUMIFS(Ingreso_Detalle[[Total Neto]:[Total Neto]],Ingreso_Detalle[[Subcategoria]:[Subcategoria]],$A8,Ingreso_Detalle[[Mes]:[Mes]],I$3)</f>
        <v>0</v>
      </c>
      <c r="J8" s="13">
        <f>SUMIFS(Ingreso_Detalle[[Total Neto]:[Total Neto]],Ingreso_Detalle[[Subcategoria]:[Subcategoria]],$A8,Ingreso_Detalle[[Mes]:[Mes]],J$3)</f>
        <v>0</v>
      </c>
      <c r="K8" s="13">
        <f>SUMIFS(Ingreso_Detalle[[Total Neto]:[Total Neto]],Ingreso_Detalle[[Subcategoria]:[Subcategoria]],$A8,Ingreso_Detalle[[Mes]:[Mes]],K$3)</f>
        <v>0</v>
      </c>
      <c r="L8" s="13">
        <f>SUMIFS(Ingreso_Detalle[[Total Neto]:[Total Neto]],Ingreso_Detalle[[Subcategoria]:[Subcategoria]],$A8,Ingreso_Detalle[[Mes]:[Mes]],L$3)</f>
        <v>0</v>
      </c>
      <c r="M8" s="13">
        <f>SUMIFS(Ingreso_Detalle[[Total Neto]:[Total Neto]],Ingreso_Detalle[[Subcategoria]:[Subcategoria]],$A8,Ingreso_Detalle[[Mes]:[Mes]],M$3)</f>
        <v>0</v>
      </c>
      <c r="N8" s="14">
        <f>SUMIFS(Ingreso_Detalle[[Total Neto]:[Total Neto]],Ingreso_Detalle[[Subcategoria]:[Subcategoria]],$A8,Ingreso_Detalle[[Mes]:[Mes]],N$3)</f>
        <v>0</v>
      </c>
      <c r="O8"/>
      <c r="P8"/>
      <c r="Q8"/>
      <c r="R8"/>
      <c r="S8"/>
      <c r="T8"/>
      <c r="U8"/>
      <c r="V8"/>
      <c r="W8"/>
      <c r="X8"/>
      <c r="Y8"/>
      <c r="Z8"/>
    </row>
    <row r="9" spans="1:26" ht="15.75" x14ac:dyDescent="0.25">
      <c r="A9" s="29" t="s">
        <v>16</v>
      </c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/>
      <c r="P9"/>
      <c r="Q9"/>
      <c r="R9"/>
      <c r="S9"/>
      <c r="T9"/>
      <c r="U9"/>
      <c r="V9"/>
      <c r="W9"/>
      <c r="X9"/>
      <c r="Y9"/>
      <c r="Z9"/>
    </row>
    <row r="10" spans="1:26" x14ac:dyDescent="0.25">
      <c r="A10" t="s">
        <v>50</v>
      </c>
      <c r="B10"/>
      <c r="C10" s="21">
        <f>SUMIFS(Ingreso_Detalle[[Total Neto]:[Total Neto]],Ingreso_Detalle[[Subcategoria]:[Subcategoria]],$A10,Ingreso_Detalle[[Mes]:[Mes]],C$3)</f>
        <v>0</v>
      </c>
      <c r="D10" s="21">
        <f>SUMIFS(Ingreso_Detalle[[Total Neto]:[Total Neto]],Ingreso_Detalle[[Subcategoria]:[Subcategoria]],$A10,Ingreso_Detalle[[Mes]:[Mes]],D$3)</f>
        <v>0</v>
      </c>
      <c r="E10" s="21">
        <f>SUMIFS(Ingreso_Detalle[[Total Neto]:[Total Neto]],Ingreso_Detalle[[Subcategoria]:[Subcategoria]],$A10,Ingreso_Detalle[[Mes]:[Mes]],E$3)</f>
        <v>0</v>
      </c>
      <c r="F10" s="21">
        <f>SUMIFS(Ingreso_Detalle[[Total Neto]:[Total Neto]],Ingreso_Detalle[[Subcategoria]:[Subcategoria]],$A10,Ingreso_Detalle[[Mes]:[Mes]],F$3)</f>
        <v>0</v>
      </c>
      <c r="G10" s="21">
        <f>SUMIFS(Ingreso_Detalle[[Total Neto]:[Total Neto]],Ingreso_Detalle[[Subcategoria]:[Subcategoria]],$A10,Ingreso_Detalle[[Mes]:[Mes]],G$3)</f>
        <v>0</v>
      </c>
      <c r="H10" s="21">
        <f>SUMIFS(Ingreso_Detalle[[Total Neto]:[Total Neto]],Ingreso_Detalle[[Subcategoria]:[Subcategoria]],$A10,Ingreso_Detalle[[Mes]:[Mes]],H$3)</f>
        <v>0</v>
      </c>
      <c r="I10" s="21">
        <f>SUMIFS(Ingreso_Detalle[[Total Neto]:[Total Neto]],Ingreso_Detalle[[Subcategoria]:[Subcategoria]],$A10,Ingreso_Detalle[[Mes]:[Mes]],I$3)</f>
        <v>0</v>
      </c>
      <c r="J10" s="21">
        <f>SUMIFS(Ingreso_Detalle[[Total Neto]:[Total Neto]],Ingreso_Detalle[[Subcategoria]:[Subcategoria]],$A10,Ingreso_Detalle[[Mes]:[Mes]],J$3)</f>
        <v>0</v>
      </c>
      <c r="K10" s="21">
        <f>SUMIFS(Ingreso_Detalle[[Total Neto]:[Total Neto]],Ingreso_Detalle[[Subcategoria]:[Subcategoria]],$A10,Ingreso_Detalle[[Mes]:[Mes]],K$3)</f>
        <v>0</v>
      </c>
      <c r="L10" s="21">
        <f>SUMIFS(Ingreso_Detalle[[Total Neto]:[Total Neto]],Ingreso_Detalle[[Subcategoria]:[Subcategoria]],$A10,Ingreso_Detalle[[Mes]:[Mes]],L$3)</f>
        <v>0</v>
      </c>
      <c r="M10" s="21">
        <f>SUMIFS(Ingreso_Detalle[[Total Neto]:[Total Neto]],Ingreso_Detalle[[Subcategoria]:[Subcategoria]],$A10,Ingreso_Detalle[[Mes]:[Mes]],M$3)</f>
        <v>0</v>
      </c>
      <c r="N10" s="22">
        <f>SUMIFS(Ingreso_Detalle[[Total Neto]:[Total Neto]],Ingreso_Detalle[[Subcategoria]:[Subcategoria]],$A10,Ingreso_Detalle[[Mes]:[Mes]],N$3)</f>
        <v>0</v>
      </c>
      <c r="O10"/>
      <c r="P10"/>
      <c r="Q10"/>
      <c r="R10"/>
      <c r="S10"/>
      <c r="T10"/>
      <c r="U10"/>
      <c r="V10"/>
      <c r="W10"/>
      <c r="X10"/>
      <c r="Y10"/>
      <c r="Z10"/>
    </row>
    <row r="11" spans="1:26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ht="15.75" x14ac:dyDescent="0.25">
      <c r="A12" s="32" t="s">
        <v>20</v>
      </c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/>
      <c r="P12"/>
      <c r="Q12"/>
      <c r="R12"/>
      <c r="S12"/>
      <c r="T12"/>
      <c r="U12"/>
      <c r="V12"/>
      <c r="W12"/>
      <c r="X12"/>
      <c r="Y12"/>
      <c r="Z12"/>
    </row>
    <row r="13" spans="1:26" x14ac:dyDescent="0.25">
      <c r="A13" t="s">
        <v>28</v>
      </c>
      <c r="B13"/>
      <c r="C13" s="26">
        <f>SUMIFS(Gasto_Detalle[[Total]:[Total]],Gasto_Detalle[[Subcategoria]:[Subcategoria]],$A13,Gasto_Detalle[[Mes]:[Mes]],C$3)</f>
        <v>0</v>
      </c>
      <c r="D13" s="26">
        <f>SUMIFS(Gasto_Detalle[[Total]:[Total]],Gasto_Detalle[[Subcategoria]:[Subcategoria]],$A13,Gasto_Detalle[[Mes]:[Mes]],D$3)</f>
        <v>0</v>
      </c>
      <c r="E13" s="26">
        <f>SUMIFS(Gasto_Detalle[[Total]:[Total]],Gasto_Detalle[[Subcategoria]:[Subcategoria]],$A13,Gasto_Detalle[[Mes]:[Mes]],E$3)</f>
        <v>0</v>
      </c>
      <c r="F13" s="26">
        <f>SUMIFS(Gasto_Detalle[[Total]:[Total]],Gasto_Detalle[[Subcategoria]:[Subcategoria]],$A13,Gasto_Detalle[[Mes]:[Mes]],F$3)</f>
        <v>0</v>
      </c>
      <c r="G13" s="26">
        <f>SUMIFS(Gasto_Detalle[[Total]:[Total]],Gasto_Detalle[[Subcategoria]:[Subcategoria]],$A13,Gasto_Detalle[[Mes]:[Mes]],G$3)</f>
        <v>0</v>
      </c>
      <c r="H13" s="26">
        <f>SUMIFS(Gasto_Detalle[[Total]:[Total]],Gasto_Detalle[[Subcategoria]:[Subcategoria]],$A13,Gasto_Detalle[[Mes]:[Mes]],H$3)</f>
        <v>0</v>
      </c>
      <c r="I13" s="26">
        <f>SUMIFS(Gasto_Detalle[[Total]:[Total]],Gasto_Detalle[[Subcategoria]:[Subcategoria]],$A13,Gasto_Detalle[[Mes]:[Mes]],I$3)</f>
        <v>0</v>
      </c>
      <c r="J13" s="26">
        <f>SUMIFS(Gasto_Detalle[[Total]:[Total]],Gasto_Detalle[[Subcategoria]:[Subcategoria]],$A13,Gasto_Detalle[[Mes]:[Mes]],J$3)</f>
        <v>0</v>
      </c>
      <c r="K13" s="26">
        <f>SUMIFS(Gasto_Detalle[[Total]:[Total]],Gasto_Detalle[[Subcategoria]:[Subcategoria]],$A13,Gasto_Detalle[[Mes]:[Mes]],K$3)</f>
        <v>0</v>
      </c>
      <c r="L13" s="26">
        <f>SUMIFS(Gasto_Detalle[[Total]:[Total]],Gasto_Detalle[[Subcategoria]:[Subcategoria]],$A13,Gasto_Detalle[[Mes]:[Mes]],L$3)</f>
        <v>0</v>
      </c>
      <c r="M13" s="26">
        <f>SUMIFS(Gasto_Detalle[[Total]:[Total]],Gasto_Detalle[[Subcategoria]:[Subcategoria]],$A13,Gasto_Detalle[[Mes]:[Mes]],M$3)</f>
        <v>0</v>
      </c>
      <c r="N13" s="27">
        <f>SUMIFS(Gasto_Detalle[[Total]:[Total]],Gasto_Detalle[[Subcategoria]:[Subcategoria]],$A13,Gasto_Detalle[[Mes]:[Mes]],N$3)</f>
        <v>0</v>
      </c>
      <c r="O13"/>
      <c r="P13"/>
      <c r="Q13"/>
      <c r="R13"/>
      <c r="S13"/>
      <c r="T13"/>
      <c r="U13"/>
      <c r="V13"/>
      <c r="W13"/>
      <c r="X13"/>
      <c r="Y13"/>
      <c r="Z13"/>
    </row>
    <row r="14" spans="1:26" x14ac:dyDescent="0.25">
      <c r="A14" t="s">
        <v>31</v>
      </c>
      <c r="B14"/>
      <c r="C14" s="11">
        <f>SUMIFS(Gasto_Detalle[[Total]:[Total]],Gasto_Detalle[[Subcategoria]:[Subcategoria]],$A14,Gasto_Detalle[[Mes]:[Mes]],C$3)</f>
        <v>29.25</v>
      </c>
      <c r="D14" s="11">
        <f>SUMIFS(Gasto_Detalle[[Total]:[Total]],Gasto_Detalle[[Subcategoria]:[Subcategoria]],$A14,Gasto_Detalle[[Mes]:[Mes]],D$3)</f>
        <v>0</v>
      </c>
      <c r="E14" s="11">
        <f>SUMIFS(Gasto_Detalle[[Total]:[Total]],Gasto_Detalle[[Subcategoria]:[Subcategoria]],$A14,Gasto_Detalle[[Mes]:[Mes]],E$3)</f>
        <v>0</v>
      </c>
      <c r="F14" s="11">
        <f>SUMIFS(Gasto_Detalle[[Total]:[Total]],Gasto_Detalle[[Subcategoria]:[Subcategoria]],$A14,Gasto_Detalle[[Mes]:[Mes]],F$3)</f>
        <v>0</v>
      </c>
      <c r="G14" s="11">
        <f>SUMIFS(Gasto_Detalle[[Total]:[Total]],Gasto_Detalle[[Subcategoria]:[Subcategoria]],$A14,Gasto_Detalle[[Mes]:[Mes]],G$3)</f>
        <v>0</v>
      </c>
      <c r="H14" s="11">
        <f>SUMIFS(Gasto_Detalle[[Total]:[Total]],Gasto_Detalle[[Subcategoria]:[Subcategoria]],$A14,Gasto_Detalle[[Mes]:[Mes]],H$3)</f>
        <v>0</v>
      </c>
      <c r="I14" s="11">
        <f>SUMIFS(Gasto_Detalle[[Total]:[Total]],Gasto_Detalle[[Subcategoria]:[Subcategoria]],$A14,Gasto_Detalle[[Mes]:[Mes]],I$3)</f>
        <v>0</v>
      </c>
      <c r="J14" s="11">
        <f>SUMIFS(Gasto_Detalle[[Total]:[Total]],Gasto_Detalle[[Subcategoria]:[Subcategoria]],$A14,Gasto_Detalle[[Mes]:[Mes]],J$3)</f>
        <v>0</v>
      </c>
      <c r="K14" s="11">
        <f>SUMIFS(Gasto_Detalle[[Total]:[Total]],Gasto_Detalle[[Subcategoria]:[Subcategoria]],$A14,Gasto_Detalle[[Mes]:[Mes]],K$3)</f>
        <v>0</v>
      </c>
      <c r="L14" s="11">
        <f>SUMIFS(Gasto_Detalle[[Total]:[Total]],Gasto_Detalle[[Subcategoria]:[Subcategoria]],$A14,Gasto_Detalle[[Mes]:[Mes]],L$3)</f>
        <v>0</v>
      </c>
      <c r="M14" s="11">
        <f>SUMIFS(Gasto_Detalle[[Total]:[Total]],Gasto_Detalle[[Subcategoria]:[Subcategoria]],$A14,Gasto_Detalle[[Mes]:[Mes]],M$3)</f>
        <v>0</v>
      </c>
      <c r="N14" s="12">
        <f>SUMIFS(Gasto_Detalle[[Total]:[Total]],Gasto_Detalle[[Subcategoria]:[Subcategoria]],$A14,Gasto_Detalle[[Mes]:[Mes]],N$3)</f>
        <v>0</v>
      </c>
      <c r="O14"/>
      <c r="P14"/>
      <c r="Q14"/>
      <c r="R14"/>
      <c r="S14"/>
      <c r="T14"/>
      <c r="U14"/>
      <c r="V14"/>
      <c r="W14"/>
      <c r="X14"/>
      <c r="Y14"/>
      <c r="Z14"/>
    </row>
    <row r="15" spans="1:26" ht="15.75" x14ac:dyDescent="0.25">
      <c r="A15" s="32" t="s">
        <v>9</v>
      </c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/>
      <c r="P15"/>
      <c r="Q15"/>
      <c r="R15"/>
      <c r="S15"/>
      <c r="T15"/>
      <c r="U15"/>
      <c r="V15"/>
      <c r="W15"/>
      <c r="X15"/>
      <c r="Y15"/>
      <c r="Z15"/>
    </row>
    <row r="16" spans="1:26" x14ac:dyDescent="0.25">
      <c r="A16" t="s">
        <v>30</v>
      </c>
      <c r="B16"/>
      <c r="C16" s="26">
        <f>SUMIFS(Gasto_Detalle[[Total]:[Total]],Gasto_Detalle[[Subcategoria]:[Subcategoria]],$A16,Gasto_Detalle[[Mes]:[Mes]],C$3)</f>
        <v>0</v>
      </c>
      <c r="D16" s="26">
        <f>SUMIFS(Gasto_Detalle[[Total]:[Total]],Gasto_Detalle[[Subcategoria]:[Subcategoria]],$A16,Gasto_Detalle[[Mes]:[Mes]],D$3)</f>
        <v>0</v>
      </c>
      <c r="E16" s="26">
        <f>SUMIFS(Gasto_Detalle[[Total]:[Total]],Gasto_Detalle[[Subcategoria]:[Subcategoria]],$A16,Gasto_Detalle[[Mes]:[Mes]],E$3)</f>
        <v>0</v>
      </c>
      <c r="F16" s="26">
        <f>SUMIFS(Gasto_Detalle[[Total]:[Total]],Gasto_Detalle[[Subcategoria]:[Subcategoria]],$A16,Gasto_Detalle[[Mes]:[Mes]],F$3)</f>
        <v>0</v>
      </c>
      <c r="G16" s="26">
        <f>SUMIFS(Gasto_Detalle[[Total]:[Total]],Gasto_Detalle[[Subcategoria]:[Subcategoria]],$A16,Gasto_Detalle[[Mes]:[Mes]],G$3)</f>
        <v>0</v>
      </c>
      <c r="H16" s="26">
        <f>SUMIFS(Gasto_Detalle[[Total]:[Total]],Gasto_Detalle[[Subcategoria]:[Subcategoria]],$A16,Gasto_Detalle[[Mes]:[Mes]],H$3)</f>
        <v>0</v>
      </c>
      <c r="I16" s="26">
        <f>SUMIFS(Gasto_Detalle[[Total]:[Total]],Gasto_Detalle[[Subcategoria]:[Subcategoria]],$A16,Gasto_Detalle[[Mes]:[Mes]],I$3)</f>
        <v>0</v>
      </c>
      <c r="J16" s="26">
        <f>SUMIFS(Gasto_Detalle[[Total]:[Total]],Gasto_Detalle[[Subcategoria]:[Subcategoria]],$A16,Gasto_Detalle[[Mes]:[Mes]],J$3)</f>
        <v>0</v>
      </c>
      <c r="K16" s="26">
        <f>SUMIFS(Gasto_Detalle[[Total]:[Total]],Gasto_Detalle[[Subcategoria]:[Subcategoria]],$A16,Gasto_Detalle[[Mes]:[Mes]],K$3)</f>
        <v>0</v>
      </c>
      <c r="L16" s="26">
        <f>SUMIFS(Gasto_Detalle[[Total]:[Total]],Gasto_Detalle[[Subcategoria]:[Subcategoria]],$A16,Gasto_Detalle[[Mes]:[Mes]],L$3)</f>
        <v>0</v>
      </c>
      <c r="M16" s="26">
        <f>SUMIFS(Gasto_Detalle[[Total]:[Total]],Gasto_Detalle[[Subcategoria]:[Subcategoria]],$A16,Gasto_Detalle[[Mes]:[Mes]],M$3)</f>
        <v>0</v>
      </c>
      <c r="N16" s="27">
        <f>SUMIFS(Gasto_Detalle[[Total]:[Total]],Gasto_Detalle[[Subcategoria]:[Subcategoria]],$A16,Gasto_Detalle[[Mes]:[Mes]],N$3)</f>
        <v>0</v>
      </c>
      <c r="O16"/>
      <c r="P16"/>
      <c r="Q16"/>
      <c r="R16"/>
      <c r="S16"/>
      <c r="T16"/>
      <c r="U16"/>
      <c r="V16"/>
      <c r="W16"/>
      <c r="X16"/>
      <c r="Y16"/>
      <c r="Z16"/>
    </row>
    <row r="17" spans="1:26" x14ac:dyDescent="0.25">
      <c r="A17" t="s">
        <v>10</v>
      </c>
      <c r="B17"/>
      <c r="C17" s="11">
        <f>SUMIFS(Gasto_Detalle[[Total]:[Total]],Gasto_Detalle[[Subcategoria]:[Subcategoria]],$A17,Gasto_Detalle[[Mes]:[Mes]],C$3)</f>
        <v>0</v>
      </c>
      <c r="D17" s="11">
        <f>SUMIFS(Gasto_Detalle[[Total]:[Total]],Gasto_Detalle[[Subcategoria]:[Subcategoria]],$A17,Gasto_Detalle[[Mes]:[Mes]],D$3)</f>
        <v>0</v>
      </c>
      <c r="E17" s="11">
        <f>SUMIFS(Gasto_Detalle[[Total]:[Total]],Gasto_Detalle[[Subcategoria]:[Subcategoria]],$A17,Gasto_Detalle[[Mes]:[Mes]],E$3)</f>
        <v>0</v>
      </c>
      <c r="F17" s="11">
        <f>SUMIFS(Gasto_Detalle[[Total]:[Total]],Gasto_Detalle[[Subcategoria]:[Subcategoria]],$A17,Gasto_Detalle[[Mes]:[Mes]],F$3)</f>
        <v>0</v>
      </c>
      <c r="G17" s="11">
        <f>SUMIFS(Gasto_Detalle[[Total]:[Total]],Gasto_Detalle[[Subcategoria]:[Subcategoria]],$A17,Gasto_Detalle[[Mes]:[Mes]],G$3)</f>
        <v>0</v>
      </c>
      <c r="H17" s="11">
        <f>SUMIFS(Gasto_Detalle[[Total]:[Total]],Gasto_Detalle[[Subcategoria]:[Subcategoria]],$A17,Gasto_Detalle[[Mes]:[Mes]],H$3)</f>
        <v>0</v>
      </c>
      <c r="I17" s="11">
        <f>SUMIFS(Gasto_Detalle[[Total]:[Total]],Gasto_Detalle[[Subcategoria]:[Subcategoria]],$A17,Gasto_Detalle[[Mes]:[Mes]],I$3)</f>
        <v>0</v>
      </c>
      <c r="J17" s="11">
        <f>SUMIFS(Gasto_Detalle[[Total]:[Total]],Gasto_Detalle[[Subcategoria]:[Subcategoria]],$A17,Gasto_Detalle[[Mes]:[Mes]],J$3)</f>
        <v>0</v>
      </c>
      <c r="K17" s="11">
        <f>SUMIFS(Gasto_Detalle[[Total]:[Total]],Gasto_Detalle[[Subcategoria]:[Subcategoria]],$A17,Gasto_Detalle[[Mes]:[Mes]],K$3)</f>
        <v>0</v>
      </c>
      <c r="L17" s="11">
        <f>SUMIFS(Gasto_Detalle[[Total]:[Total]],Gasto_Detalle[[Subcategoria]:[Subcategoria]],$A17,Gasto_Detalle[[Mes]:[Mes]],L$3)</f>
        <v>0</v>
      </c>
      <c r="M17" s="11">
        <f>SUMIFS(Gasto_Detalle[[Total]:[Total]],Gasto_Detalle[[Subcategoria]:[Subcategoria]],$A17,Gasto_Detalle[[Mes]:[Mes]],M$3)</f>
        <v>0</v>
      </c>
      <c r="N17" s="12">
        <f>SUMIFS(Gasto_Detalle[[Total]:[Total]],Gasto_Detalle[[Subcategoria]:[Subcategoria]],$A17,Gasto_Detalle[[Mes]:[Mes]],N$3)</f>
        <v>0</v>
      </c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25">
      <c r="A18" t="s">
        <v>13</v>
      </c>
      <c r="B18"/>
      <c r="C18" s="26">
        <f>SUMIFS(Gasto_Detalle[[Total]:[Total]],Gasto_Detalle[[Subcategoria]:[Subcategoria]],$A18,Gasto_Detalle[[Mes]:[Mes]],C$3)</f>
        <v>16.989999999999998</v>
      </c>
      <c r="D18" s="26">
        <f>SUMIFS(Gasto_Detalle[[Total]:[Total]],Gasto_Detalle[[Subcategoria]:[Subcategoria]],$A18,Gasto_Detalle[[Mes]:[Mes]],D$3)</f>
        <v>0</v>
      </c>
      <c r="E18" s="26">
        <f>SUMIFS(Gasto_Detalle[[Total]:[Total]],Gasto_Detalle[[Subcategoria]:[Subcategoria]],$A18,Gasto_Detalle[[Mes]:[Mes]],E$3)</f>
        <v>0</v>
      </c>
      <c r="F18" s="26">
        <f>SUMIFS(Gasto_Detalle[[Total]:[Total]],Gasto_Detalle[[Subcategoria]:[Subcategoria]],$A18,Gasto_Detalle[[Mes]:[Mes]],F$3)</f>
        <v>0</v>
      </c>
      <c r="G18" s="26">
        <f>SUMIFS(Gasto_Detalle[[Total]:[Total]],Gasto_Detalle[[Subcategoria]:[Subcategoria]],$A18,Gasto_Detalle[[Mes]:[Mes]],G$3)</f>
        <v>0</v>
      </c>
      <c r="H18" s="26">
        <f>SUMIFS(Gasto_Detalle[[Total]:[Total]],Gasto_Detalle[[Subcategoria]:[Subcategoria]],$A18,Gasto_Detalle[[Mes]:[Mes]],H$3)</f>
        <v>0</v>
      </c>
      <c r="I18" s="26">
        <f>SUMIFS(Gasto_Detalle[[Total]:[Total]],Gasto_Detalle[[Subcategoria]:[Subcategoria]],$A18,Gasto_Detalle[[Mes]:[Mes]],I$3)</f>
        <v>0</v>
      </c>
      <c r="J18" s="26">
        <f>SUMIFS(Gasto_Detalle[[Total]:[Total]],Gasto_Detalle[[Subcategoria]:[Subcategoria]],$A18,Gasto_Detalle[[Mes]:[Mes]],J$3)</f>
        <v>0</v>
      </c>
      <c r="K18" s="26">
        <f>SUMIFS(Gasto_Detalle[[Total]:[Total]],Gasto_Detalle[[Subcategoria]:[Subcategoria]],$A18,Gasto_Detalle[[Mes]:[Mes]],K$3)</f>
        <v>0</v>
      </c>
      <c r="L18" s="26">
        <f>SUMIFS(Gasto_Detalle[[Total]:[Total]],Gasto_Detalle[[Subcategoria]:[Subcategoria]],$A18,Gasto_Detalle[[Mes]:[Mes]],L$3)</f>
        <v>0</v>
      </c>
      <c r="M18" s="26">
        <f>SUMIFS(Gasto_Detalle[[Total]:[Total]],Gasto_Detalle[[Subcategoria]:[Subcategoria]],$A18,Gasto_Detalle[[Mes]:[Mes]],M$3)</f>
        <v>0</v>
      </c>
      <c r="N18" s="27">
        <f>SUMIFS(Gasto_Detalle[[Total]:[Total]],Gasto_Detalle[[Subcategoria]:[Subcategoria]],$A18,Gasto_Detalle[[Mes]:[Mes]],N$3)</f>
        <v>0</v>
      </c>
      <c r="O18"/>
      <c r="P18"/>
      <c r="Q18"/>
      <c r="R18"/>
      <c r="S18"/>
      <c r="T18"/>
      <c r="U18"/>
      <c r="V18"/>
      <c r="W18"/>
      <c r="X18"/>
      <c r="Y18"/>
      <c r="Z18"/>
    </row>
    <row r="19" spans="1:26" ht="15.75" x14ac:dyDescent="0.25">
      <c r="A19" s="32" t="s">
        <v>29</v>
      </c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25">
      <c r="A20" t="s">
        <v>12</v>
      </c>
      <c r="B20"/>
      <c r="C20" s="26">
        <f>SUMIFS(Gasto_Detalle[[Total]:[Total]],Gasto_Detalle[[Subcategoria]:[Subcategoria]],$A20,Gasto_Detalle[[Mes]:[Mes]],C$3)</f>
        <v>0</v>
      </c>
      <c r="D20" s="26">
        <f>SUMIFS(Gasto_Detalle[[Total]:[Total]],Gasto_Detalle[[Subcategoria]:[Subcategoria]],$A20,Gasto_Detalle[[Mes]:[Mes]],D$3)</f>
        <v>0</v>
      </c>
      <c r="E20" s="26">
        <f>SUMIFS(Gasto_Detalle[[Total]:[Total]],Gasto_Detalle[[Subcategoria]:[Subcategoria]],$A20,Gasto_Detalle[[Mes]:[Mes]],E$3)</f>
        <v>0</v>
      </c>
      <c r="F20" s="26">
        <f>SUMIFS(Gasto_Detalle[[Total]:[Total]],Gasto_Detalle[[Subcategoria]:[Subcategoria]],$A20,Gasto_Detalle[[Mes]:[Mes]],F$3)</f>
        <v>0</v>
      </c>
      <c r="G20" s="26">
        <f>SUMIFS(Gasto_Detalle[[Total]:[Total]],Gasto_Detalle[[Subcategoria]:[Subcategoria]],$A20,Gasto_Detalle[[Mes]:[Mes]],G$3)</f>
        <v>0</v>
      </c>
      <c r="H20" s="26">
        <f>SUMIFS(Gasto_Detalle[[Total]:[Total]],Gasto_Detalle[[Subcategoria]:[Subcategoria]],$A20,Gasto_Detalle[[Mes]:[Mes]],H$3)</f>
        <v>0</v>
      </c>
      <c r="I20" s="26">
        <f>SUMIFS(Gasto_Detalle[[Total]:[Total]],Gasto_Detalle[[Subcategoria]:[Subcategoria]],$A20,Gasto_Detalle[[Mes]:[Mes]],I$3)</f>
        <v>0</v>
      </c>
      <c r="J20" s="26">
        <f>SUMIFS(Gasto_Detalle[[Total]:[Total]],Gasto_Detalle[[Subcategoria]:[Subcategoria]],$A20,Gasto_Detalle[[Mes]:[Mes]],J$3)</f>
        <v>0</v>
      </c>
      <c r="K20" s="26">
        <f>SUMIFS(Gasto_Detalle[[Total]:[Total]],Gasto_Detalle[[Subcategoria]:[Subcategoria]],$A20,Gasto_Detalle[[Mes]:[Mes]],K$3)</f>
        <v>0</v>
      </c>
      <c r="L20" s="26">
        <f>SUMIFS(Gasto_Detalle[[Total]:[Total]],Gasto_Detalle[[Subcategoria]:[Subcategoria]],$A20,Gasto_Detalle[[Mes]:[Mes]],L$3)</f>
        <v>0</v>
      </c>
      <c r="M20" s="26">
        <f>SUMIFS(Gasto_Detalle[[Total]:[Total]],Gasto_Detalle[[Subcategoria]:[Subcategoria]],$A20,Gasto_Detalle[[Mes]:[Mes]],M$3)</f>
        <v>0</v>
      </c>
      <c r="N20" s="27">
        <f>SUMIFS(Gasto_Detalle[[Total]:[Total]],Gasto_Detalle[[Subcategoria]:[Subcategoria]],$A20,Gasto_Detalle[[Mes]:[Mes]],N$3)</f>
        <v>0</v>
      </c>
      <c r="O20"/>
      <c r="P20"/>
      <c r="Q20"/>
      <c r="R20"/>
      <c r="S20"/>
      <c r="T20"/>
      <c r="U20"/>
      <c r="V20"/>
      <c r="W20"/>
      <c r="X20"/>
      <c r="Y20"/>
      <c r="Z20"/>
    </row>
    <row r="21" spans="1:26" ht="15.75" x14ac:dyDescent="0.25">
      <c r="A21" s="32" t="s">
        <v>16</v>
      </c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/>
      <c r="P21"/>
      <c r="Q21"/>
      <c r="R21"/>
      <c r="S21"/>
      <c r="T21"/>
      <c r="U21"/>
      <c r="V21"/>
      <c r="W21"/>
      <c r="X21"/>
      <c r="Y21"/>
      <c r="Z21"/>
    </row>
    <row r="22" spans="1:26" x14ac:dyDescent="0.25">
      <c r="A22" t="s">
        <v>17</v>
      </c>
      <c r="B22"/>
      <c r="C22" s="9">
        <f>SUMIFS(Gasto_Detalle[[Total]:[Total]],Gasto_Detalle[[Subcategoria]:[Subcategoria]],$A22,Gasto_Detalle[[Mes]:[Mes]],C$3)</f>
        <v>100</v>
      </c>
      <c r="D22" s="9">
        <f>SUMIFS(Gasto_Detalle[[Total]:[Total]],Gasto_Detalle[[Subcategoria]:[Subcategoria]],$A22,Gasto_Detalle[[Mes]:[Mes]],D$3)</f>
        <v>0</v>
      </c>
      <c r="E22" s="9">
        <f>SUMIFS(Gasto_Detalle[[Total]:[Total]],Gasto_Detalle[[Subcategoria]:[Subcategoria]],$A22,Gasto_Detalle[[Mes]:[Mes]],E$3)</f>
        <v>0</v>
      </c>
      <c r="F22" s="9">
        <f>SUMIFS(Gasto_Detalle[[Total]:[Total]],Gasto_Detalle[[Subcategoria]:[Subcategoria]],$A22,Gasto_Detalle[[Mes]:[Mes]],F$3)</f>
        <v>0</v>
      </c>
      <c r="G22" s="9">
        <f>SUMIFS(Gasto_Detalle[[Total]:[Total]],Gasto_Detalle[[Subcategoria]:[Subcategoria]],$A22,Gasto_Detalle[[Mes]:[Mes]],G$3)</f>
        <v>0</v>
      </c>
      <c r="H22" s="9">
        <f>SUMIFS(Gasto_Detalle[[Total]:[Total]],Gasto_Detalle[[Subcategoria]:[Subcategoria]],$A22,Gasto_Detalle[[Mes]:[Mes]],H$3)</f>
        <v>0</v>
      </c>
      <c r="I22" s="9">
        <f>SUMIFS(Gasto_Detalle[[Total]:[Total]],Gasto_Detalle[[Subcategoria]:[Subcategoria]],$A22,Gasto_Detalle[[Mes]:[Mes]],I$3)</f>
        <v>0</v>
      </c>
      <c r="J22" s="9">
        <f>SUMIFS(Gasto_Detalle[[Total]:[Total]],Gasto_Detalle[[Subcategoria]:[Subcategoria]],$A22,Gasto_Detalle[[Mes]:[Mes]],J$3)</f>
        <v>0</v>
      </c>
      <c r="K22" s="9">
        <f>SUMIFS(Gasto_Detalle[[Total]:[Total]],Gasto_Detalle[[Subcategoria]:[Subcategoria]],$A22,Gasto_Detalle[[Mes]:[Mes]],K$3)</f>
        <v>0</v>
      </c>
      <c r="L22" s="9">
        <f>SUMIFS(Gasto_Detalle[[Total]:[Total]],Gasto_Detalle[[Subcategoria]:[Subcategoria]],$A22,Gasto_Detalle[[Mes]:[Mes]],L$3)</f>
        <v>0</v>
      </c>
      <c r="M22" s="9">
        <f>SUMIFS(Gasto_Detalle[[Total]:[Total]],Gasto_Detalle[[Subcategoria]:[Subcategoria]],$A22,Gasto_Detalle[[Mes]:[Mes]],M$3)</f>
        <v>0</v>
      </c>
      <c r="N22" s="9">
        <f>SUMIFS(Gasto_Detalle[[Total]:[Total]],Gasto_Detalle[[Subcategoria]:[Subcategoria]],$A22,Gasto_Detalle[[Mes]:[Mes]],N$3)</f>
        <v>0</v>
      </c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25">
      <c r="A23" t="s">
        <v>67</v>
      </c>
      <c r="B23"/>
      <c r="C23" s="9">
        <f>SUMIFS(Gasto_Detalle[[Total]:[Total]],Gasto_Detalle[[Subcategoria]:[Subcategoria]],$A23,Gasto_Detalle[[Mes]:[Mes]],C$3)</f>
        <v>0</v>
      </c>
      <c r="D23" s="9">
        <f>SUMIFS(Gasto_Detalle[[Total]:[Total]],Gasto_Detalle[[Subcategoria]:[Subcategoria]],$A23,Gasto_Detalle[[Mes]:[Mes]],D$3)</f>
        <v>0</v>
      </c>
      <c r="E23" s="9">
        <f>SUMIFS(Gasto_Detalle[[Total]:[Total]],Gasto_Detalle[[Subcategoria]:[Subcategoria]],$A23,Gasto_Detalle[[Mes]:[Mes]],E$3)</f>
        <v>0</v>
      </c>
      <c r="F23" s="9">
        <f>SUMIFS(Gasto_Detalle[[Total]:[Total]],Gasto_Detalle[[Subcategoria]:[Subcategoria]],$A23,Gasto_Detalle[[Mes]:[Mes]],F$3)</f>
        <v>0</v>
      </c>
      <c r="G23" s="9">
        <f>SUMIFS(Gasto_Detalle[[Total]:[Total]],Gasto_Detalle[[Subcategoria]:[Subcategoria]],$A23,Gasto_Detalle[[Mes]:[Mes]],G$3)</f>
        <v>0</v>
      </c>
      <c r="H23" s="9">
        <f>SUMIFS(Gasto_Detalle[[Total]:[Total]],Gasto_Detalle[[Subcategoria]:[Subcategoria]],$A23,Gasto_Detalle[[Mes]:[Mes]],H$3)</f>
        <v>0</v>
      </c>
      <c r="I23" s="9">
        <f>SUMIFS(Gasto_Detalle[[Total]:[Total]],Gasto_Detalle[[Subcategoria]:[Subcategoria]],$A23,Gasto_Detalle[[Mes]:[Mes]],I$3)</f>
        <v>0</v>
      </c>
      <c r="J23" s="9">
        <f>SUMIFS(Gasto_Detalle[[Total]:[Total]],Gasto_Detalle[[Subcategoria]:[Subcategoria]],$A23,Gasto_Detalle[[Mes]:[Mes]],J$3)</f>
        <v>0</v>
      </c>
      <c r="K23" s="9">
        <f>SUMIFS(Gasto_Detalle[[Total]:[Total]],Gasto_Detalle[[Subcategoria]:[Subcategoria]],$A23,Gasto_Detalle[[Mes]:[Mes]],K$3)</f>
        <v>0</v>
      </c>
      <c r="L23" s="9">
        <f>SUMIFS(Gasto_Detalle[[Total]:[Total]],Gasto_Detalle[[Subcategoria]:[Subcategoria]],$A23,Gasto_Detalle[[Mes]:[Mes]],L$3)</f>
        <v>0</v>
      </c>
      <c r="M23" s="9">
        <f>SUMIFS(Gasto_Detalle[[Total]:[Total]],Gasto_Detalle[[Subcategoria]:[Subcategoria]],$A23,Gasto_Detalle[[Mes]:[Mes]],M$3)</f>
        <v>0</v>
      </c>
      <c r="N23" s="9">
        <f>SUMIFS(Gasto_Detalle[[Total]:[Total]],Gasto_Detalle[[Subcategoria]:[Subcategoria]],$A23,Gasto_Detalle[[Mes]:[Mes]],N$3)</f>
        <v>0</v>
      </c>
      <c r="O23"/>
      <c r="P23"/>
      <c r="Q23"/>
      <c r="R23"/>
      <c r="S23"/>
      <c r="T23"/>
      <c r="U23"/>
      <c r="V23"/>
      <c r="W23"/>
      <c r="X23"/>
      <c r="Y23"/>
      <c r="Z23"/>
    </row>
    <row r="24" spans="1:26" ht="15.75" x14ac:dyDescent="0.25">
      <c r="A24" s="32" t="s">
        <v>11</v>
      </c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/>
      <c r="P24"/>
      <c r="Q24"/>
      <c r="R24"/>
      <c r="S24"/>
      <c r="T24"/>
      <c r="U24"/>
      <c r="V24"/>
      <c r="W24"/>
      <c r="X24"/>
      <c r="Y24"/>
      <c r="Z24"/>
    </row>
    <row r="25" spans="1:26" x14ac:dyDescent="0.25">
      <c r="A25" t="s">
        <v>19</v>
      </c>
      <c r="B25"/>
      <c r="C25" s="26">
        <f>SUMIFS(Gasto_Detalle[[Total]:[Total]],Gasto_Detalle[[Subcategoria]:[Subcategoria]],$A25,Gasto_Detalle[[Mes]:[Mes]],C$3)</f>
        <v>72.05</v>
      </c>
      <c r="D25" s="26">
        <f>SUMIFS(Gasto_Detalle[[Total]:[Total]],Gasto_Detalle[[Subcategoria]:[Subcategoria]],$A25,Gasto_Detalle[[Mes]:[Mes]],D$3)</f>
        <v>0</v>
      </c>
      <c r="E25" s="26">
        <f>SUMIFS(Gasto_Detalle[[Total]:[Total]],Gasto_Detalle[[Subcategoria]:[Subcategoria]],$A25,Gasto_Detalle[[Mes]:[Mes]],E$3)</f>
        <v>0</v>
      </c>
      <c r="F25" s="26">
        <f>SUMIFS(Gasto_Detalle[[Total]:[Total]],Gasto_Detalle[[Subcategoria]:[Subcategoria]],$A25,Gasto_Detalle[[Mes]:[Mes]],F$3)</f>
        <v>0</v>
      </c>
      <c r="G25" s="26">
        <f>SUMIFS(Gasto_Detalle[[Total]:[Total]],Gasto_Detalle[[Subcategoria]:[Subcategoria]],$A25,Gasto_Detalle[[Mes]:[Mes]],G$3)</f>
        <v>0</v>
      </c>
      <c r="H25" s="26">
        <f>SUMIFS(Gasto_Detalle[[Total]:[Total]],Gasto_Detalle[[Subcategoria]:[Subcategoria]],$A25,Gasto_Detalle[[Mes]:[Mes]],H$3)</f>
        <v>0</v>
      </c>
      <c r="I25" s="26">
        <f>SUMIFS(Gasto_Detalle[[Total]:[Total]],Gasto_Detalle[[Subcategoria]:[Subcategoria]],$A25,Gasto_Detalle[[Mes]:[Mes]],I$3)</f>
        <v>0</v>
      </c>
      <c r="J25" s="26">
        <f>SUMIFS(Gasto_Detalle[[Total]:[Total]],Gasto_Detalle[[Subcategoria]:[Subcategoria]],$A25,Gasto_Detalle[[Mes]:[Mes]],J$3)</f>
        <v>0</v>
      </c>
      <c r="K25" s="26">
        <f>SUMIFS(Gasto_Detalle[[Total]:[Total]],Gasto_Detalle[[Subcategoria]:[Subcategoria]],$A25,Gasto_Detalle[[Mes]:[Mes]],K$3)</f>
        <v>0</v>
      </c>
      <c r="L25" s="26">
        <f>SUMIFS(Gasto_Detalle[[Total]:[Total]],Gasto_Detalle[[Subcategoria]:[Subcategoria]],$A25,Gasto_Detalle[[Mes]:[Mes]],L$3)</f>
        <v>0</v>
      </c>
      <c r="M25" s="26">
        <f>SUMIFS(Gasto_Detalle[[Total]:[Total]],Gasto_Detalle[[Subcategoria]:[Subcategoria]],$A25,Gasto_Detalle[[Mes]:[Mes]],M$3)</f>
        <v>0</v>
      </c>
      <c r="N25" s="27">
        <f>SUMIFS(Gasto_Detalle[[Total]:[Total]],Gasto_Detalle[[Subcategoria]:[Subcategoria]],$A25,Gasto_Detalle[[Mes]:[Mes]],N$3)</f>
        <v>0</v>
      </c>
      <c r="O25"/>
      <c r="P25"/>
      <c r="Q25"/>
      <c r="R25"/>
      <c r="S25"/>
      <c r="T25"/>
      <c r="U25"/>
      <c r="V25"/>
      <c r="W25"/>
      <c r="X25"/>
      <c r="Y25"/>
      <c r="Z25"/>
    </row>
    <row r="26" spans="1:26" ht="15.75" x14ac:dyDescent="0.25">
      <c r="A26" s="32" t="s">
        <v>58</v>
      </c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ht="17.25" x14ac:dyDescent="0.25">
      <c r="A28" s="30" t="s">
        <v>71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/>
      <c r="P28"/>
      <c r="Q28"/>
      <c r="R28"/>
      <c r="S28"/>
      <c r="T28"/>
      <c r="U28"/>
      <c r="V28"/>
      <c r="W28"/>
      <c r="X28"/>
      <c r="Y28"/>
      <c r="Z28"/>
    </row>
    <row r="29" spans="1:26" x14ac:dyDescent="0.25">
      <c r="A29" t="s">
        <v>54</v>
      </c>
      <c r="B29"/>
      <c r="C29" s="9">
        <f>-1*SUMIFS(Gasto_Detalle[[Total]:[Total]],Gasto_Detalle[[Mes]:[Mes]],C$3)</f>
        <v>-218.29000000000002</v>
      </c>
      <c r="D29" s="9">
        <f>-1*SUMIFS(Gasto_Detalle[[Total]:[Total]],Gasto_Detalle[[Mes]:[Mes]],D$3)</f>
        <v>0</v>
      </c>
      <c r="E29" s="9">
        <f>-1*SUMIFS(Gasto_Detalle[[Total]:[Total]],Gasto_Detalle[[Mes]:[Mes]],E$3)</f>
        <v>0</v>
      </c>
      <c r="F29" s="9">
        <f>-1*SUMIFS(Gasto_Detalle[[Total]:[Total]],Gasto_Detalle[[Mes]:[Mes]],F$3)</f>
        <v>0</v>
      </c>
      <c r="G29" s="9">
        <f>-1*SUMIFS(Gasto_Detalle[[Total]:[Total]],Gasto_Detalle[[Mes]:[Mes]],G$3)</f>
        <v>0</v>
      </c>
      <c r="H29" s="9">
        <f>-1*SUMIFS(Gasto_Detalle[[Total]:[Total]],Gasto_Detalle[[Mes]:[Mes]],H$3)</f>
        <v>0</v>
      </c>
      <c r="I29" s="9">
        <f>-1*SUMIFS(Gasto_Detalle[[Total]:[Total]],Gasto_Detalle[[Mes]:[Mes]],I$3)</f>
        <v>0</v>
      </c>
      <c r="J29" s="9">
        <f>-1*SUMIFS(Gasto_Detalle[[Total]:[Total]],Gasto_Detalle[[Mes]:[Mes]],J$3)</f>
        <v>0</v>
      </c>
      <c r="K29" s="9">
        <f>-1*SUMIFS(Gasto_Detalle[[Total]:[Total]],Gasto_Detalle[[Mes]:[Mes]],K$3)</f>
        <v>0</v>
      </c>
      <c r="L29" s="9">
        <f>-1*SUMIFS(Gasto_Detalle[[Total]:[Total]],Gasto_Detalle[[Mes]:[Mes]],L$3)</f>
        <v>0</v>
      </c>
      <c r="M29" s="9">
        <f>-1*SUMIFS(Gasto_Detalle[[Total]:[Total]],Gasto_Detalle[[Mes]:[Mes]],M$3)</f>
        <v>0</v>
      </c>
      <c r="N29" s="9">
        <f>-1*SUMIFS(Gasto_Detalle[[Total]:[Total]],Gasto_Detalle[[Mes]:[Mes]],N$3)</f>
        <v>0</v>
      </c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A30" t="s">
        <v>52</v>
      </c>
      <c r="B30"/>
      <c r="C30" s="9">
        <f>-1*SUMIFS(Gasto_Detalle[[Total]:[Total]],Gasto_Detalle[[Mes]:[Mes]],C$3)</f>
        <v>-218.29000000000002</v>
      </c>
      <c r="D30" s="9">
        <f>-1*SUMIFS(Gasto_Detalle[[Total]:[Total]],Gasto_Detalle[[Mes]:[Mes]],D$3)</f>
        <v>0</v>
      </c>
      <c r="E30" s="9">
        <f>-1*SUMIFS(Gasto_Detalle[[Total]:[Total]],Gasto_Detalle[[Mes]:[Mes]],E$3)</f>
        <v>0</v>
      </c>
      <c r="F30" s="9">
        <f>-1*SUMIFS(Gasto_Detalle[[Total]:[Total]],Gasto_Detalle[[Mes]:[Mes]],F$3)</f>
        <v>0</v>
      </c>
      <c r="G30" s="9">
        <f>-1*SUMIFS(Gasto_Detalle[[Total]:[Total]],Gasto_Detalle[[Mes]:[Mes]],G$3)</f>
        <v>0</v>
      </c>
      <c r="H30" s="9">
        <f>-1*SUMIFS(Gasto_Detalle[[Total]:[Total]],Gasto_Detalle[[Mes]:[Mes]],H$3)</f>
        <v>0</v>
      </c>
      <c r="I30" s="9">
        <f>-1*SUMIFS(Gasto_Detalle[[Total]:[Total]],Gasto_Detalle[[Mes]:[Mes]],I$3)</f>
        <v>0</v>
      </c>
      <c r="J30" s="9">
        <f>-1*SUMIFS(Gasto_Detalle[[Total]:[Total]],Gasto_Detalle[[Mes]:[Mes]],J$3)</f>
        <v>0</v>
      </c>
      <c r="K30" s="9">
        <f>-1*SUMIFS(Gasto_Detalle[[Total]:[Total]],Gasto_Detalle[[Mes]:[Mes]],K$3)</f>
        <v>0</v>
      </c>
      <c r="L30" s="9">
        <f>-1*SUMIFS(Gasto_Detalle[[Total]:[Total]],Gasto_Detalle[[Mes]:[Mes]],L$3)</f>
        <v>0</v>
      </c>
      <c r="M30" s="9">
        <f>-1*SUMIFS(Gasto_Detalle[[Total]:[Total]],Gasto_Detalle[[Mes]:[Mes]],M$3)</f>
        <v>0</v>
      </c>
      <c r="N30" s="9">
        <f>-1*SUMIFS(Gasto_Detalle[[Total]:[Total]],Gasto_Detalle[[Mes]:[Mes]],N$3)</f>
        <v>0</v>
      </c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A31" t="s">
        <v>53</v>
      </c>
      <c r="B31"/>
      <c r="C31" s="9">
        <f>-1*SUMIFS(Gasto_Detalle[[Total]:[Total]],Gasto_Detalle[[Mes]:[Mes]],C$3)</f>
        <v>-218.29000000000002</v>
      </c>
      <c r="D31" s="9">
        <f>-1*SUMIFS(Gasto_Detalle[[Total]:[Total]],Gasto_Detalle[[Mes]:[Mes]],D$3)</f>
        <v>0</v>
      </c>
      <c r="E31" s="9">
        <f>-1*SUMIFS(Gasto_Detalle[[Total]:[Total]],Gasto_Detalle[[Mes]:[Mes]],E$3)</f>
        <v>0</v>
      </c>
      <c r="F31" s="9">
        <f>-1*SUMIFS(Gasto_Detalle[[Total]:[Total]],Gasto_Detalle[[Mes]:[Mes]],F$3)</f>
        <v>0</v>
      </c>
      <c r="G31" s="9">
        <f>-1*SUMIFS(Gasto_Detalle[[Total]:[Total]],Gasto_Detalle[[Mes]:[Mes]],G$3)</f>
        <v>0</v>
      </c>
      <c r="H31" s="9">
        <f>-1*SUMIFS(Gasto_Detalle[[Total]:[Total]],Gasto_Detalle[[Mes]:[Mes]],H$3)</f>
        <v>0</v>
      </c>
      <c r="I31" s="9">
        <f>-1*SUMIFS(Gasto_Detalle[[Total]:[Total]],Gasto_Detalle[[Mes]:[Mes]],I$3)</f>
        <v>0</v>
      </c>
      <c r="J31" s="9">
        <f>-1*SUMIFS(Gasto_Detalle[[Total]:[Total]],Gasto_Detalle[[Mes]:[Mes]],J$3)</f>
        <v>0</v>
      </c>
      <c r="K31" s="9">
        <f>-1*SUMIFS(Gasto_Detalle[[Total]:[Total]],Gasto_Detalle[[Mes]:[Mes]],K$3)</f>
        <v>0</v>
      </c>
      <c r="L31" s="9">
        <f>-1*SUMIFS(Gasto_Detalle[[Total]:[Total]],Gasto_Detalle[[Mes]:[Mes]],L$3)</f>
        <v>0</v>
      </c>
      <c r="M31" s="9">
        <f>-1*SUMIFS(Gasto_Detalle[[Total]:[Total]],Gasto_Detalle[[Mes]:[Mes]],M$3)</f>
        <v>0</v>
      </c>
      <c r="N31" s="9">
        <f>-1*SUMIFS(Gasto_Detalle[[Total]:[Total]],Gasto_Detalle[[Mes]:[Mes]],N$3)</f>
        <v>0</v>
      </c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ht="17.25" x14ac:dyDescent="0.25">
      <c r="A33" s="31" t="s">
        <v>72</v>
      </c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25">
      <c r="A34" t="s">
        <v>60</v>
      </c>
      <c r="B34"/>
      <c r="C34" s="9">
        <f>SUMIFS(Ingreso_Detalle[[Total Neto]:[Total Neto]],Ingreso_Detalle[[Mes]:[Mes]],C$3)</f>
        <v>897.48571428000002</v>
      </c>
      <c r="D34" s="9">
        <f>SUMIFS(Ingreso_Detalle[[Total Neto]:[Total Neto]],Ingreso_Detalle[[Mes]:[Mes]],D$3)</f>
        <v>0</v>
      </c>
      <c r="E34" s="9">
        <f>SUMIFS(Ingreso_Detalle[[Total Neto]:[Total Neto]],Ingreso_Detalle[[Mes]:[Mes]],E$3)</f>
        <v>0</v>
      </c>
      <c r="F34" s="9">
        <f>SUMIFS(Ingreso_Detalle[[Total Neto]:[Total Neto]],Ingreso_Detalle[[Mes]:[Mes]],F$3)</f>
        <v>0</v>
      </c>
      <c r="G34" s="9">
        <f>SUMIFS(Ingreso_Detalle[[Total Neto]:[Total Neto]],Ingreso_Detalle[[Mes]:[Mes]],G$3)</f>
        <v>0</v>
      </c>
      <c r="H34" s="9">
        <f>SUMIFS(Ingreso_Detalle[[Total Neto]:[Total Neto]],Ingreso_Detalle[[Mes]:[Mes]],H$3)</f>
        <v>0</v>
      </c>
      <c r="I34" s="9">
        <f>SUMIFS(Ingreso_Detalle[[Total Neto]:[Total Neto]],Ingreso_Detalle[[Mes]:[Mes]],I$3)</f>
        <v>0</v>
      </c>
      <c r="J34" s="9">
        <f>SUMIFS(Ingreso_Detalle[[Total Neto]:[Total Neto]],Ingreso_Detalle[[Mes]:[Mes]],J$3)</f>
        <v>0</v>
      </c>
      <c r="K34" s="9">
        <f>SUMIFS(Ingreso_Detalle[[Total Neto]:[Total Neto]],Ingreso_Detalle[[Mes]:[Mes]],K$3)</f>
        <v>0</v>
      </c>
      <c r="L34" s="9">
        <f>SUMIFS(Ingreso_Detalle[[Total Neto]:[Total Neto]],Ingreso_Detalle[[Mes]:[Mes]],L$3)</f>
        <v>0</v>
      </c>
      <c r="M34" s="9">
        <f>SUMIFS(Ingreso_Detalle[[Total Neto]:[Total Neto]],Ingreso_Detalle[[Mes]:[Mes]],M$3)</f>
        <v>0</v>
      </c>
      <c r="N34" s="9">
        <f>SUMIFS(Ingreso_Detalle[[Total Neto]:[Total Neto]],Ingreso_Detalle[[Mes]:[Mes]],N$3)</f>
        <v>0</v>
      </c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25">
      <c r="A35" t="s">
        <v>61</v>
      </c>
      <c r="B35"/>
      <c r="C35" s="9">
        <f>SUMIFS(Ingreso_Detalle[[Total Neto]:[Total Neto]],Ingreso_Detalle[[Mes]:[Mes]],C$3)</f>
        <v>897.48571428000002</v>
      </c>
      <c r="D35" s="9">
        <f>SUMIFS(Ingreso_Detalle[[Total Neto]:[Total Neto]],Ingreso_Detalle[[Mes]:[Mes]],D$3)</f>
        <v>0</v>
      </c>
      <c r="E35" s="9">
        <f>SUMIFS(Ingreso_Detalle[[Total Neto]:[Total Neto]],Ingreso_Detalle[[Mes]:[Mes]],E$3)</f>
        <v>0</v>
      </c>
      <c r="F35" s="9">
        <f>SUMIFS(Ingreso_Detalle[[Total Neto]:[Total Neto]],Ingreso_Detalle[[Mes]:[Mes]],F$3)</f>
        <v>0</v>
      </c>
      <c r="G35" s="9">
        <f>SUMIFS(Ingreso_Detalle[[Total Neto]:[Total Neto]],Ingreso_Detalle[[Mes]:[Mes]],G$3)</f>
        <v>0</v>
      </c>
      <c r="H35" s="9">
        <f>SUMIFS(Ingreso_Detalle[[Total Neto]:[Total Neto]],Ingreso_Detalle[[Mes]:[Mes]],H$3)</f>
        <v>0</v>
      </c>
      <c r="I35" s="9">
        <f>SUMIFS(Ingreso_Detalle[[Total Neto]:[Total Neto]],Ingreso_Detalle[[Mes]:[Mes]],I$3)</f>
        <v>0</v>
      </c>
      <c r="J35" s="9">
        <f>SUMIFS(Ingreso_Detalle[[Total Neto]:[Total Neto]],Ingreso_Detalle[[Mes]:[Mes]],J$3)</f>
        <v>0</v>
      </c>
      <c r="K35" s="9">
        <f>SUMIFS(Ingreso_Detalle[[Total Neto]:[Total Neto]],Ingreso_Detalle[[Mes]:[Mes]],K$3)</f>
        <v>0</v>
      </c>
      <c r="L35" s="9">
        <f>SUMIFS(Ingreso_Detalle[[Total Neto]:[Total Neto]],Ingreso_Detalle[[Mes]:[Mes]],L$3)</f>
        <v>0</v>
      </c>
      <c r="M35" s="9">
        <f>SUMIFS(Ingreso_Detalle[[Total Neto]:[Total Neto]],Ingreso_Detalle[[Mes]:[Mes]],M$3)</f>
        <v>0</v>
      </c>
      <c r="N35" s="9">
        <f>SUMIFS(Ingreso_Detalle[[Total Neto]:[Total Neto]],Ingreso_Detalle[[Mes]:[Mes]],N$3)</f>
        <v>0</v>
      </c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25">
      <c r="A36" t="s">
        <v>62</v>
      </c>
      <c r="B36"/>
      <c r="C36" s="9">
        <f>SUMIFS(Ingreso_Detalle[[Total Neto]:[Total Neto]],Ingreso_Detalle[[Mes]:[Mes]],C$3)</f>
        <v>897.48571428000002</v>
      </c>
      <c r="D36" s="9">
        <f>SUMIFS(Ingreso_Detalle[[Total Neto]:[Total Neto]],Ingreso_Detalle[[Mes]:[Mes]],D$3)</f>
        <v>0</v>
      </c>
      <c r="E36" s="9">
        <f>SUMIFS(Ingreso_Detalle[[Total Neto]:[Total Neto]],Ingreso_Detalle[[Mes]:[Mes]],E$3)</f>
        <v>0</v>
      </c>
      <c r="F36" s="9">
        <f>SUMIFS(Ingreso_Detalle[[Total Neto]:[Total Neto]],Ingreso_Detalle[[Mes]:[Mes]],F$3)</f>
        <v>0</v>
      </c>
      <c r="G36" s="9">
        <f>SUMIFS(Ingreso_Detalle[[Total Neto]:[Total Neto]],Ingreso_Detalle[[Mes]:[Mes]],G$3)</f>
        <v>0</v>
      </c>
      <c r="H36" s="9">
        <f>SUMIFS(Ingreso_Detalle[[Total Neto]:[Total Neto]],Ingreso_Detalle[[Mes]:[Mes]],H$3)</f>
        <v>0</v>
      </c>
      <c r="I36" s="9">
        <f>SUMIFS(Ingreso_Detalle[[Total Neto]:[Total Neto]],Ingreso_Detalle[[Mes]:[Mes]],I$3)</f>
        <v>0</v>
      </c>
      <c r="J36" s="9">
        <f>SUMIFS(Ingreso_Detalle[[Total Neto]:[Total Neto]],Ingreso_Detalle[[Mes]:[Mes]],J$3)</f>
        <v>0</v>
      </c>
      <c r="K36" s="9">
        <f>SUMIFS(Ingreso_Detalle[[Total Neto]:[Total Neto]],Ingreso_Detalle[[Mes]:[Mes]],K$3)</f>
        <v>0</v>
      </c>
      <c r="L36" s="9">
        <f>SUMIFS(Ingreso_Detalle[[Total Neto]:[Total Neto]],Ingreso_Detalle[[Mes]:[Mes]],L$3)</f>
        <v>0</v>
      </c>
      <c r="M36" s="9">
        <f>SUMIFS(Ingreso_Detalle[[Total Neto]:[Total Neto]],Ingreso_Detalle[[Mes]:[Mes]],M$3)</f>
        <v>0</v>
      </c>
      <c r="N36" s="9">
        <f>SUMIFS(Ingreso_Detalle[[Total Neto]:[Total Neto]],Ingreso_Detalle[[Mes]:[Mes]],N$3)</f>
        <v>0</v>
      </c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ht="17.25" x14ac:dyDescent="0.25">
      <c r="A38" s="28" t="s">
        <v>14</v>
      </c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/>
      <c r="P38"/>
      <c r="Q38"/>
      <c r="R38"/>
      <c r="S38"/>
      <c r="T38"/>
      <c r="U38"/>
      <c r="V38"/>
      <c r="W38"/>
      <c r="X38"/>
      <c r="Y38"/>
      <c r="Z38"/>
    </row>
    <row r="39" spans="1:26" ht="17.25" x14ac:dyDescent="0.3">
      <c r="A39"/>
      <c r="B39"/>
      <c r="C39" s="17">
        <f t="shared" ref="C39:N39" si="0">C$36+C$31</f>
        <v>679.19571427999995</v>
      </c>
      <c r="D39" s="17">
        <f t="shared" si="0"/>
        <v>0</v>
      </c>
      <c r="E39" s="17">
        <f t="shared" si="0"/>
        <v>0</v>
      </c>
      <c r="F39" s="17">
        <f t="shared" si="0"/>
        <v>0</v>
      </c>
      <c r="G39" s="17">
        <f t="shared" si="0"/>
        <v>0</v>
      </c>
      <c r="H39" s="17">
        <f t="shared" si="0"/>
        <v>0</v>
      </c>
      <c r="I39" s="17">
        <f t="shared" si="0"/>
        <v>0</v>
      </c>
      <c r="J39" s="17">
        <f t="shared" si="0"/>
        <v>0</v>
      </c>
      <c r="K39" s="17">
        <f t="shared" si="0"/>
        <v>0</v>
      </c>
      <c r="L39" s="17">
        <f t="shared" si="0"/>
        <v>0</v>
      </c>
      <c r="M39" s="17">
        <f t="shared" si="0"/>
        <v>0</v>
      </c>
      <c r="N39" s="17">
        <f t="shared" si="0"/>
        <v>0</v>
      </c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1:26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1:26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1:26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1:26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1:26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1:26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1:26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1:26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1:26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1:26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1:26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1:26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1:26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1:26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1:26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1:26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1:26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1:26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1:26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1:26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1:26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1:26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1:26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1:26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1:26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1:26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1:26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1:26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1:26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  <row r="272" spans="1:26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</row>
    <row r="273" spans="1:26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</row>
    <row r="274" spans="1:26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</row>
    <row r="275" spans="1:26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</row>
    <row r="276" spans="1:26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</row>
    <row r="277" spans="1:26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</row>
    <row r="278" spans="1:26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</row>
    <row r="279" spans="1:26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</row>
    <row r="280" spans="1:26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</row>
    <row r="281" spans="1:26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</row>
    <row r="282" spans="1:26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</row>
    <row r="283" spans="1:26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</row>
    <row r="284" spans="1:26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</row>
    <row r="285" spans="1:26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</row>
    <row r="286" spans="1:26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</row>
    <row r="287" spans="1:26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</row>
    <row r="288" spans="1:26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</row>
    <row r="289" spans="1:26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</row>
    <row r="290" spans="1:26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</row>
    <row r="291" spans="1:26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</row>
    <row r="292" spans="1:26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</row>
    <row r="293" spans="1:2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</row>
    <row r="294" spans="1:2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</row>
    <row r="295" spans="1:26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</row>
    <row r="296" spans="1:26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</row>
    <row r="297" spans="1:26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</row>
    <row r="298" spans="1:26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</row>
    <row r="299" spans="1:26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</row>
    <row r="300" spans="1:26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</row>
    <row r="301" spans="1:26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</row>
    <row r="302" spans="1:26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</row>
    <row r="303" spans="1:26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</row>
    <row r="304" spans="1:26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</row>
    <row r="305" spans="1:26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</row>
    <row r="306" spans="1:26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</row>
    <row r="307" spans="1:26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</row>
    <row r="308" spans="1:26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</row>
    <row r="309" spans="1:26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</row>
    <row r="310" spans="1:26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</row>
    <row r="311" spans="1:26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</row>
    <row r="312" spans="1:26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</row>
    <row r="313" spans="1:26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</row>
    <row r="314" spans="1:26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</row>
    <row r="315" spans="1:26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</row>
    <row r="316" spans="1:26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</row>
    <row r="317" spans="1:26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</row>
    <row r="318" spans="1:26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</row>
    <row r="319" spans="1:26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</row>
    <row r="320" spans="1:26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</row>
    <row r="321" spans="1:26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</row>
    <row r="322" spans="1:26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</row>
    <row r="323" spans="1:26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</row>
    <row r="324" spans="1:26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</row>
    <row r="325" spans="1:26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</row>
    <row r="326" spans="1:26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</row>
    <row r="327" spans="1:26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</row>
    <row r="328" spans="1:26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</row>
    <row r="329" spans="1:26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</row>
    <row r="330" spans="1:26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</row>
    <row r="331" spans="1:26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</row>
    <row r="332" spans="1:26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</row>
    <row r="333" spans="1:26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</row>
    <row r="334" spans="1:26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</row>
    <row r="335" spans="1:26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</row>
    <row r="336" spans="1:26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</row>
    <row r="337" spans="1:26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</row>
    <row r="338" spans="1:26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</row>
    <row r="339" spans="1:26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</row>
    <row r="340" spans="1:26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</row>
    <row r="341" spans="1:26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</row>
    <row r="342" spans="1:26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</row>
    <row r="343" spans="1:26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</row>
    <row r="344" spans="1:26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</row>
    <row r="345" spans="1:26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</row>
    <row r="346" spans="1:26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</row>
    <row r="347" spans="1:26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</row>
    <row r="348" spans="1:26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</row>
    <row r="349" spans="1:26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</row>
    <row r="350" spans="1:26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</row>
    <row r="351" spans="1:26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</row>
    <row r="352" spans="1:26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</row>
    <row r="353" spans="1:26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</row>
    <row r="354" spans="1:26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</row>
    <row r="355" spans="1:26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</row>
    <row r="356" spans="1:26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</row>
    <row r="357" spans="1:26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</row>
    <row r="358" spans="1:26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</row>
    <row r="359" spans="1:26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</row>
    <row r="360" spans="1:26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</row>
    <row r="361" spans="1:26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</row>
    <row r="362" spans="1:26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</row>
    <row r="363" spans="1:26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</row>
    <row r="364" spans="1:26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</row>
    <row r="365" spans="1:26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</row>
    <row r="366" spans="1:26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</row>
    <row r="367" spans="1:26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</row>
    <row r="368" spans="1:26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</row>
    <row r="369" spans="1:26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</row>
    <row r="370" spans="1:26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</row>
    <row r="371" spans="1:26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</row>
    <row r="372" spans="1:26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</row>
    <row r="373" spans="1:26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</row>
    <row r="374" spans="1:26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</row>
    <row r="375" spans="1:26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</row>
    <row r="376" spans="1:26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</row>
    <row r="377" spans="1:26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</row>
    <row r="378" spans="1:26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</row>
    <row r="379" spans="1:26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</row>
    <row r="380" spans="1:26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</row>
    <row r="381" spans="1:26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</row>
    <row r="382" spans="1:26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</row>
    <row r="383" spans="1:26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</row>
    <row r="384" spans="1:26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</row>
    <row r="385" spans="1:26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</row>
    <row r="386" spans="1:26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</row>
    <row r="387" spans="1:26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</row>
    <row r="388" spans="1:26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</row>
    <row r="389" spans="1:26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</row>
    <row r="390" spans="1:26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</row>
    <row r="391" spans="1:26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</row>
    <row r="392" spans="1:26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</row>
    <row r="393" spans="1:26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</row>
    <row r="394" spans="1:26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</row>
    <row r="395" spans="1:26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</row>
    <row r="396" spans="1:26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</row>
    <row r="397" spans="1:26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</row>
    <row r="398" spans="1:26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</row>
    <row r="399" spans="1:26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</row>
    <row r="400" spans="1:26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</row>
    <row r="401" spans="1:26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</row>
    <row r="402" spans="1:26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</row>
    <row r="403" spans="1:26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</row>
    <row r="404" spans="1:26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</row>
    <row r="405" spans="1:26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</row>
    <row r="406" spans="1:26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</row>
    <row r="407" spans="1:26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</row>
    <row r="408" spans="1:26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</row>
    <row r="409" spans="1:26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</row>
    <row r="410" spans="1:26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</row>
    <row r="411" spans="1:26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</row>
    <row r="412" spans="1:26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</row>
    <row r="413" spans="1:26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</row>
    <row r="414" spans="1:26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</row>
    <row r="415" spans="1:26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</row>
    <row r="416" spans="1:26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</row>
    <row r="417" spans="1:26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</row>
    <row r="418" spans="1:26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</row>
    <row r="419" spans="1:26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</row>
    <row r="420" spans="1:26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</row>
    <row r="421" spans="1:26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</row>
    <row r="422" spans="1:26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</row>
    <row r="423" spans="1:26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</row>
    <row r="424" spans="1:26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</row>
    <row r="425" spans="1:26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</row>
    <row r="426" spans="1:26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</row>
    <row r="427" spans="1:26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</row>
    <row r="428" spans="1:26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</row>
    <row r="429" spans="1:26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</row>
    <row r="430" spans="1:26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</row>
    <row r="431" spans="1:26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</row>
    <row r="432" spans="1:26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</row>
    <row r="433" spans="1:26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</row>
    <row r="434" spans="1:26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</row>
    <row r="435" spans="1:26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</row>
    <row r="436" spans="1:26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</row>
    <row r="437" spans="1:26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</row>
    <row r="438" spans="1:26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</row>
    <row r="439" spans="1:26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</row>
    <row r="440" spans="1:26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</row>
    <row r="441" spans="1:26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</row>
    <row r="442" spans="1:26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</row>
    <row r="443" spans="1:26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</row>
    <row r="444" spans="1:26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</row>
    <row r="445" spans="1:26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</row>
    <row r="446" spans="1:26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</row>
    <row r="447" spans="1:26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</row>
    <row r="448" spans="1:26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</row>
    <row r="449" spans="1:26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</row>
    <row r="450" spans="1:26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</row>
    <row r="451" spans="1:26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</row>
    <row r="452" spans="1:26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</row>
    <row r="453" spans="1:26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</row>
    <row r="454" spans="1:26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</row>
    <row r="455" spans="1:26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</row>
    <row r="456" spans="1:26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</row>
    <row r="457" spans="1:26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</row>
    <row r="458" spans="1:26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</row>
    <row r="459" spans="1:26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</row>
    <row r="460" spans="1:26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</row>
    <row r="461" spans="1:26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</row>
    <row r="462" spans="1:26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</row>
    <row r="463" spans="1:26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</row>
    <row r="464" spans="1:26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</row>
    <row r="465" spans="1:26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</row>
    <row r="466" spans="1:26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</row>
    <row r="467" spans="1:26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</row>
    <row r="468" spans="1:26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</row>
    <row r="469" spans="1:26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</row>
    <row r="470" spans="1:26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</row>
    <row r="471" spans="1:26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</row>
    <row r="472" spans="1:26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</row>
    <row r="473" spans="1:26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</row>
    <row r="474" spans="1:26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</row>
    <row r="475" spans="1:26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</row>
    <row r="476" spans="1:26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</row>
    <row r="477" spans="1:26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</row>
    <row r="478" spans="1:26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</row>
    <row r="479" spans="1:26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</row>
    <row r="480" spans="1:26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</row>
    <row r="481" spans="1:26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</row>
    <row r="482" spans="1:26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</row>
    <row r="483" spans="1:26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</row>
    <row r="484" spans="1:26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</row>
    <row r="485" spans="1:26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</row>
    <row r="486" spans="1:26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</row>
    <row r="487" spans="1:26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</row>
    <row r="488" spans="1:26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</row>
    <row r="489" spans="1:26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</row>
    <row r="490" spans="1:26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</row>
    <row r="491" spans="1:26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</row>
    <row r="492" spans="1:26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</row>
    <row r="493" spans="1:26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</row>
    <row r="494" spans="1:26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</row>
    <row r="495" spans="1:26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</row>
    <row r="496" spans="1:26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</row>
    <row r="497" spans="1:26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</row>
    <row r="498" spans="1:26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</row>
    <row r="499" spans="1:26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</row>
    <row r="500" spans="1:26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</row>
    <row r="501" spans="1:26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</row>
    <row r="502" spans="1:26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</row>
    <row r="503" spans="1:26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</row>
    <row r="504" spans="1:26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</row>
    <row r="505" spans="1:26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</row>
    <row r="506" spans="1:26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</row>
    <row r="507" spans="1:26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</row>
    <row r="508" spans="1:26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</row>
    <row r="509" spans="1:26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</row>
    <row r="510" spans="1:26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</row>
    <row r="511" spans="1:26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</row>
    <row r="512" spans="1:26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</row>
    <row r="513" spans="1:26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</row>
    <row r="514" spans="1:26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</row>
    <row r="515" spans="1:26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</row>
    <row r="516" spans="1:26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</row>
    <row r="517" spans="1:26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</row>
    <row r="518" spans="1:26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</row>
    <row r="519" spans="1:26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</row>
    <row r="520" spans="1:26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</row>
    <row r="521" spans="1:26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</row>
    <row r="522" spans="1:26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</row>
    <row r="523" spans="1:26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</row>
    <row r="524" spans="1:26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</row>
    <row r="525" spans="1:26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</row>
    <row r="526" spans="1:26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</row>
    <row r="527" spans="1:26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</row>
    <row r="528" spans="1:26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</row>
    <row r="529" spans="1:26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</row>
    <row r="530" spans="1:26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</row>
    <row r="531" spans="1:26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</row>
    <row r="532" spans="1:26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</row>
    <row r="533" spans="1:26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</row>
    <row r="534" spans="1:26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</row>
    <row r="535" spans="1:26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</row>
    <row r="536" spans="1:26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</row>
    <row r="537" spans="1:26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</row>
    <row r="538" spans="1:26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</row>
    <row r="539" spans="1:26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</row>
    <row r="540" spans="1:26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</row>
    <row r="541" spans="1:26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</row>
    <row r="542" spans="1:26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</row>
    <row r="543" spans="1:26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</row>
    <row r="544" spans="1:26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</row>
    <row r="545" spans="1:26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</row>
    <row r="546" spans="1:26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</row>
    <row r="547" spans="1:26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</row>
    <row r="548" spans="1:26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</row>
    <row r="549" spans="1:26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</row>
    <row r="550" spans="1:26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</row>
    <row r="551" spans="1:26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</row>
    <row r="552" spans="1:26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</row>
    <row r="553" spans="1:26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</row>
    <row r="554" spans="1:26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</row>
    <row r="555" spans="1:26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</row>
    <row r="556" spans="1:26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</row>
    <row r="557" spans="1:26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</row>
    <row r="558" spans="1:26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</row>
    <row r="559" spans="1:26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</row>
    <row r="560" spans="1:26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</row>
    <row r="561" spans="1:26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</row>
    <row r="562" spans="1:26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</row>
    <row r="563" spans="1:26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</row>
    <row r="564" spans="1:26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</row>
    <row r="565" spans="1:26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</row>
    <row r="566" spans="1:26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</row>
    <row r="567" spans="1:26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</row>
    <row r="568" spans="1:26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</row>
    <row r="569" spans="1:26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</row>
    <row r="570" spans="1:26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</row>
    <row r="571" spans="1:26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</row>
    <row r="572" spans="1:26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</row>
    <row r="573" spans="1:26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</row>
    <row r="574" spans="1:26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</row>
    <row r="575" spans="1:26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</row>
    <row r="576" spans="1:26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</row>
    <row r="577" spans="1:26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</row>
    <row r="578" spans="1:26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</row>
    <row r="579" spans="1:26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</row>
    <row r="580" spans="1:26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</row>
    <row r="581" spans="1:26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</row>
    <row r="582" spans="1:26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</row>
    <row r="583" spans="1:26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</row>
    <row r="584" spans="1:26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</row>
    <row r="585" spans="1:26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</row>
    <row r="586" spans="1:26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</row>
    <row r="587" spans="1:26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</row>
    <row r="588" spans="1:26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</row>
    <row r="589" spans="1:26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</row>
    <row r="590" spans="1:26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</row>
    <row r="591" spans="1:26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</row>
    <row r="592" spans="1:26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</row>
    <row r="593" spans="1:26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</row>
    <row r="594" spans="1:26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</row>
    <row r="595" spans="1:26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</row>
    <row r="596" spans="1:26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</row>
    <row r="597" spans="1:26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</row>
    <row r="598" spans="1:26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</row>
    <row r="599" spans="1:26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</row>
    <row r="600" spans="1:26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</row>
    <row r="601" spans="1:26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</row>
    <row r="602" spans="1:26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</row>
    <row r="603" spans="1:26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</row>
    <row r="604" spans="1:26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</row>
    <row r="605" spans="1:26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</row>
    <row r="606" spans="1:26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</row>
    <row r="607" spans="1:26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</row>
    <row r="608" spans="1:26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</row>
    <row r="609" spans="1:26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</row>
    <row r="610" spans="1:26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</row>
    <row r="611" spans="1:26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</row>
    <row r="612" spans="1:26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</row>
    <row r="613" spans="1:26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</row>
    <row r="614" spans="1:26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</row>
    <row r="615" spans="1:26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</row>
    <row r="616" spans="1:26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</row>
    <row r="617" spans="1:26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</row>
    <row r="618" spans="1:26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</row>
    <row r="619" spans="1:26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</row>
    <row r="620" spans="1:26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</row>
    <row r="621" spans="1:26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</row>
    <row r="622" spans="1:26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</row>
    <row r="623" spans="1:26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</row>
    <row r="624" spans="1:26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</row>
    <row r="625" spans="1:26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</row>
    <row r="626" spans="1:26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</row>
    <row r="627" spans="1:26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</row>
    <row r="628" spans="1:26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</row>
    <row r="629" spans="1:26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</row>
    <row r="630" spans="1:26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</row>
    <row r="631" spans="1:26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</row>
    <row r="632" spans="1:26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</row>
    <row r="633" spans="1:26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</row>
    <row r="634" spans="1:26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</row>
    <row r="635" spans="1:26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</row>
    <row r="636" spans="1:26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</row>
    <row r="637" spans="1:26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</row>
    <row r="638" spans="1:26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</row>
    <row r="639" spans="1:26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</row>
    <row r="640" spans="1:26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</row>
    <row r="641" spans="1:26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</row>
    <row r="642" spans="1:26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</row>
    <row r="643" spans="1:26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</row>
    <row r="644" spans="1:26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</row>
    <row r="645" spans="1:26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</row>
    <row r="646" spans="1:26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</row>
    <row r="647" spans="1:26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</row>
    <row r="648" spans="1:26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</row>
    <row r="649" spans="1:26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</row>
    <row r="650" spans="1:26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</row>
    <row r="651" spans="1:26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</row>
    <row r="652" spans="1:26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</row>
    <row r="653" spans="1:26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</row>
    <row r="654" spans="1:26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</row>
    <row r="655" spans="1:26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</row>
    <row r="656" spans="1:26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</row>
    <row r="657" spans="1:26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</row>
    <row r="658" spans="1:26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</row>
    <row r="659" spans="1:26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</row>
    <row r="660" spans="1:26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</row>
    <row r="661" spans="1:26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</row>
    <row r="662" spans="1:26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</row>
    <row r="663" spans="1:26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</row>
    <row r="664" spans="1:26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</row>
    <row r="665" spans="1:26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</row>
    <row r="666" spans="1:26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</row>
    <row r="667" spans="1:26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</row>
    <row r="668" spans="1:26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</row>
    <row r="669" spans="1:26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</row>
    <row r="670" spans="1:26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</row>
    <row r="671" spans="1:26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</row>
    <row r="672" spans="1:26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</row>
    <row r="673" spans="1:26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</row>
    <row r="674" spans="1:26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</row>
    <row r="675" spans="1:26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</row>
    <row r="676" spans="1:26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</row>
    <row r="677" spans="1:26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</row>
    <row r="678" spans="1:26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</row>
    <row r="679" spans="1:26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</row>
    <row r="680" spans="1:26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</row>
    <row r="681" spans="1:26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</row>
    <row r="682" spans="1:26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</row>
    <row r="683" spans="1:26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</row>
    <row r="684" spans="1:26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</row>
    <row r="685" spans="1:26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</row>
    <row r="686" spans="1:26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</row>
    <row r="687" spans="1:26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</row>
    <row r="688" spans="1:26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</row>
    <row r="689" spans="1:26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</row>
    <row r="690" spans="1:26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</row>
    <row r="691" spans="1:26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</row>
    <row r="692" spans="1:26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</row>
    <row r="693" spans="1:26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</row>
    <row r="694" spans="1:26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</row>
    <row r="695" spans="1:26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</row>
    <row r="696" spans="1:26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</row>
    <row r="697" spans="1:26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</row>
    <row r="698" spans="1:26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</row>
    <row r="699" spans="1:26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</row>
    <row r="700" spans="1:26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</row>
    <row r="701" spans="1:26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</row>
    <row r="702" spans="1:26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</row>
    <row r="703" spans="1:26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</row>
    <row r="704" spans="1:26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</row>
    <row r="705" spans="1:26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</row>
    <row r="706" spans="1:26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</row>
    <row r="707" spans="1:26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</row>
    <row r="708" spans="1:26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</row>
    <row r="709" spans="1:26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</row>
    <row r="710" spans="1:26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</row>
    <row r="711" spans="1:26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</row>
    <row r="712" spans="1:26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</row>
    <row r="713" spans="1:26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</row>
    <row r="714" spans="1:26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</row>
    <row r="715" spans="1:26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</row>
    <row r="716" spans="1:26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</row>
    <row r="717" spans="1:26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</row>
    <row r="718" spans="1:26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</row>
    <row r="719" spans="1:26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</row>
    <row r="720" spans="1:26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</row>
    <row r="721" spans="1:26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</row>
    <row r="722" spans="1:26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</row>
    <row r="723" spans="1:26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</row>
    <row r="724" spans="1:26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</row>
    <row r="725" spans="1:26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</row>
    <row r="726" spans="1:26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</row>
    <row r="727" spans="1:26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</row>
    <row r="728" spans="1:26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</row>
    <row r="729" spans="1:26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</row>
    <row r="730" spans="1:26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</row>
    <row r="731" spans="1:26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</row>
    <row r="732" spans="1:26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</row>
    <row r="733" spans="1:26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</row>
    <row r="734" spans="1:26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</row>
    <row r="735" spans="1:26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</row>
    <row r="736" spans="1:26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</row>
    <row r="737" spans="1:26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</row>
    <row r="738" spans="1:26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</row>
    <row r="739" spans="1:26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</row>
    <row r="740" spans="1:26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</row>
    <row r="741" spans="1:26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</row>
    <row r="742" spans="1:26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</row>
    <row r="743" spans="1:26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</row>
    <row r="744" spans="1:26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</row>
    <row r="745" spans="1:26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</row>
    <row r="746" spans="1:26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</row>
    <row r="747" spans="1:26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</row>
    <row r="748" spans="1:26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</row>
    <row r="749" spans="1:26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</row>
    <row r="750" spans="1:26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</row>
    <row r="751" spans="1:26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</row>
    <row r="752" spans="1:26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</row>
    <row r="753" spans="1:26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</row>
    <row r="754" spans="1:26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</row>
    <row r="755" spans="1:26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</row>
    <row r="756" spans="1:26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</row>
    <row r="757" spans="1:26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</row>
    <row r="758" spans="1:26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</row>
    <row r="759" spans="1:26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</row>
    <row r="760" spans="1:26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</row>
    <row r="761" spans="1:26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</row>
    <row r="762" spans="1:26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</row>
    <row r="763" spans="1:26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</row>
    <row r="764" spans="1:26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</row>
    <row r="765" spans="1:26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</row>
    <row r="766" spans="1:26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</row>
    <row r="767" spans="1:26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</row>
    <row r="768" spans="1:26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</row>
    <row r="769" spans="1:26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</row>
    <row r="770" spans="1:26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</row>
    <row r="771" spans="1:26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</row>
    <row r="772" spans="1:26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</row>
    <row r="773" spans="1:26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</row>
    <row r="774" spans="1:26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</row>
    <row r="775" spans="1:26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</row>
    <row r="776" spans="1:26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</row>
    <row r="777" spans="1:26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</row>
    <row r="778" spans="1:26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</row>
    <row r="779" spans="1:26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</row>
    <row r="780" spans="1:26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</row>
    <row r="781" spans="1:26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</row>
    <row r="782" spans="1:26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</row>
    <row r="783" spans="1:26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</row>
    <row r="784" spans="1:26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</row>
    <row r="785" spans="1:26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</row>
    <row r="786" spans="1:26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</row>
    <row r="787" spans="1:26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</row>
    <row r="788" spans="1:26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</row>
    <row r="789" spans="1:26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</row>
    <row r="790" spans="1:26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</row>
    <row r="791" spans="1:26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</row>
    <row r="792" spans="1:26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</row>
    <row r="793" spans="1:26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</row>
    <row r="794" spans="1:26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</row>
    <row r="795" spans="1:26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</row>
    <row r="796" spans="1:26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</row>
    <row r="797" spans="1:26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</row>
    <row r="798" spans="1:26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</row>
    <row r="799" spans="1:26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</row>
    <row r="800" spans="1:26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</row>
    <row r="801" spans="1:26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</row>
    <row r="802" spans="1:26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</row>
    <row r="803" spans="1:26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</row>
    <row r="804" spans="1:26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</row>
    <row r="805" spans="1:26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</row>
    <row r="806" spans="1:26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</row>
    <row r="807" spans="1:26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</row>
    <row r="808" spans="1:26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</row>
    <row r="809" spans="1:26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</row>
    <row r="810" spans="1:26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</row>
    <row r="811" spans="1:26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</row>
    <row r="812" spans="1:26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</row>
    <row r="813" spans="1:26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</row>
    <row r="814" spans="1:26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</row>
    <row r="815" spans="1:26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</row>
    <row r="816" spans="1:26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</row>
    <row r="817" spans="1:26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</row>
    <row r="818" spans="1:26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</row>
    <row r="819" spans="1:26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</row>
    <row r="820" spans="1:26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</row>
    <row r="821" spans="1:26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</row>
    <row r="822" spans="1:26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</row>
    <row r="823" spans="1:26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</row>
    <row r="824" spans="1:26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</row>
    <row r="825" spans="1:26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</row>
    <row r="826" spans="1:26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</row>
    <row r="827" spans="1:26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</row>
    <row r="828" spans="1:26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</row>
    <row r="829" spans="1:26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</row>
    <row r="830" spans="1:26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</row>
    <row r="831" spans="1:26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</row>
    <row r="832" spans="1:26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</row>
    <row r="833" spans="1:26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</row>
    <row r="834" spans="1:26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</row>
    <row r="835" spans="1:26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</row>
    <row r="836" spans="1:26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</row>
    <row r="837" spans="1:26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</row>
    <row r="838" spans="1:26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</row>
    <row r="839" spans="1:26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</row>
    <row r="840" spans="1:26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</row>
    <row r="841" spans="1:26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</row>
    <row r="842" spans="1:26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</row>
    <row r="843" spans="1:26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</row>
    <row r="844" spans="1:26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</row>
    <row r="845" spans="1:26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</row>
    <row r="846" spans="1:26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</row>
    <row r="847" spans="1:26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</row>
    <row r="848" spans="1:26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</row>
    <row r="849" spans="1:26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</row>
    <row r="850" spans="1:26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</row>
    <row r="851" spans="1:26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</row>
    <row r="852" spans="1:26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</row>
    <row r="853" spans="1:26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</row>
    <row r="854" spans="1:26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</row>
    <row r="855" spans="1:26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</row>
    <row r="856" spans="1:26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</row>
    <row r="857" spans="1:26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</row>
    <row r="858" spans="1:26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</row>
    <row r="859" spans="1:26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</row>
    <row r="860" spans="1:26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</row>
    <row r="861" spans="1:26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</row>
    <row r="862" spans="1:26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</row>
    <row r="863" spans="1:26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</row>
    <row r="864" spans="1:26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</row>
    <row r="865" spans="1:26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</row>
    <row r="866" spans="1:26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</row>
    <row r="867" spans="1:26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</row>
    <row r="868" spans="1:26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</row>
    <row r="869" spans="1:26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</row>
    <row r="870" spans="1:26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</row>
    <row r="871" spans="1:26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</row>
    <row r="872" spans="1:26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</row>
    <row r="873" spans="1:26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</row>
    <row r="874" spans="1:26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</row>
    <row r="875" spans="1:26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</row>
    <row r="876" spans="1:26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</row>
    <row r="877" spans="1:26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</row>
    <row r="878" spans="1:26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</row>
    <row r="879" spans="1:26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</row>
    <row r="880" spans="1:26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</row>
    <row r="881" spans="1:26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</row>
    <row r="882" spans="1:26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</row>
    <row r="883" spans="1:26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</row>
    <row r="884" spans="1:26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</row>
    <row r="885" spans="1:26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</row>
    <row r="886" spans="1:26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</row>
    <row r="887" spans="1:26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</row>
    <row r="888" spans="1:26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</row>
    <row r="889" spans="1:26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</row>
    <row r="890" spans="1:26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</row>
    <row r="891" spans="1:26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</row>
    <row r="892" spans="1:26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</row>
    <row r="893" spans="1:26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</row>
    <row r="894" spans="1:26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</row>
    <row r="895" spans="1:26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</row>
    <row r="896" spans="1:26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</row>
    <row r="897" spans="1:26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</row>
    <row r="898" spans="1:26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</row>
    <row r="899" spans="1:26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</row>
    <row r="900" spans="1:26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</row>
    <row r="901" spans="1:26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</row>
    <row r="902" spans="1:26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</row>
    <row r="903" spans="1:26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</row>
    <row r="904" spans="1:26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</row>
    <row r="905" spans="1:26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</row>
    <row r="906" spans="1:26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</row>
    <row r="907" spans="1:26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</row>
    <row r="908" spans="1:26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</row>
    <row r="909" spans="1:26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</row>
    <row r="910" spans="1:26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</row>
    <row r="911" spans="1:26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</row>
    <row r="912" spans="1:26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</row>
    <row r="913" spans="1:26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</row>
    <row r="914" spans="1:26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</row>
    <row r="915" spans="1:26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</row>
    <row r="916" spans="1:26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</row>
    <row r="917" spans="1:26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</row>
    <row r="918" spans="1:26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</row>
    <row r="919" spans="1:26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</row>
    <row r="920" spans="1:26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</row>
    <row r="921" spans="1:26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</row>
    <row r="922" spans="1:26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</row>
    <row r="923" spans="1:26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</row>
    <row r="924" spans="1:26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</row>
    <row r="925" spans="1:26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</row>
    <row r="926" spans="1:26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</row>
    <row r="927" spans="1:26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</row>
    <row r="928" spans="1:26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</row>
    <row r="929" spans="1:26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</row>
    <row r="930" spans="1:26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</row>
    <row r="931" spans="1:26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</row>
    <row r="932" spans="1:26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</row>
    <row r="933" spans="1:26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</row>
    <row r="934" spans="1:26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</row>
    <row r="935" spans="1:26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</row>
    <row r="936" spans="1:26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</row>
    <row r="937" spans="1:26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</row>
    <row r="938" spans="1:26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</row>
    <row r="939" spans="1:26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</row>
    <row r="940" spans="1:26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</row>
    <row r="941" spans="1:26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</row>
    <row r="942" spans="1:26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</row>
    <row r="943" spans="1:26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</row>
    <row r="944" spans="1:26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</row>
    <row r="945" spans="1:26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</row>
    <row r="946" spans="1:26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</row>
    <row r="947" spans="1:26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</row>
    <row r="948" spans="1:26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</row>
    <row r="949" spans="1:26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</row>
    <row r="950" spans="1:26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</row>
    <row r="951" spans="1:26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</row>
    <row r="952" spans="1:26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</row>
    <row r="953" spans="1:26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</row>
    <row r="954" spans="1:26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</row>
    <row r="955" spans="1:26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</row>
    <row r="956" spans="1:26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</row>
    <row r="957" spans="1:26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</row>
    <row r="958" spans="1:26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</row>
    <row r="959" spans="1:26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</row>
    <row r="960" spans="1:26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</row>
    <row r="961" spans="1:26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</row>
    <row r="962" spans="1:26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</row>
    <row r="963" spans="1:26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</row>
    <row r="964" spans="1:26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</row>
    <row r="965" spans="1:26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</row>
    <row r="966" spans="1:26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</row>
    <row r="967" spans="1:26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</row>
    <row r="968" spans="1:26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</row>
    <row r="969" spans="1:26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</row>
    <row r="970" spans="1:26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</row>
    <row r="971" spans="1:26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</row>
    <row r="972" spans="1:26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</row>
    <row r="973" spans="1:26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</row>
    <row r="974" spans="1:26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</row>
    <row r="975" spans="1:26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</row>
    <row r="976" spans="1:26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</row>
    <row r="977" spans="1:26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</row>
    <row r="978" spans="1:26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</row>
    <row r="979" spans="1:26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</row>
    <row r="980" spans="1:26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</row>
    <row r="981" spans="1:26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</row>
    <row r="982" spans="1:26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</row>
    <row r="983" spans="1:26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</row>
    <row r="984" spans="1:26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</row>
    <row r="985" spans="1:26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</row>
    <row r="986" spans="1:26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</row>
    <row r="987" spans="1:26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</row>
    <row r="988" spans="1:26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</row>
    <row r="989" spans="1:26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</row>
    <row r="990" spans="1:26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</row>
    <row r="991" spans="1:26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</row>
    <row r="992" spans="1:26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</row>
    <row r="993" spans="1:26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</row>
    <row r="994" spans="1:26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</row>
    <row r="995" spans="1:26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</row>
    <row r="996" spans="1:26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</row>
    <row r="997" spans="1:26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</row>
    <row r="998" spans="1:26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</row>
    <row r="999" spans="1:26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</row>
    <row r="1000" spans="1:26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</row>
  </sheetData>
  <mergeCells count="12">
    <mergeCell ref="A38:N38"/>
    <mergeCell ref="A4:N4"/>
    <mergeCell ref="A9:N9"/>
    <mergeCell ref="A28:N28"/>
    <mergeCell ref="A33:N33"/>
    <mergeCell ref="A7:N7"/>
    <mergeCell ref="A12:N12"/>
    <mergeCell ref="A15:N15"/>
    <mergeCell ref="A19:N19"/>
    <mergeCell ref="A21:N21"/>
    <mergeCell ref="A24:N24"/>
    <mergeCell ref="A26:N26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075" r:id="rId4" name="Agregar_Gasto">
          <controlPr defaultSize="0" autoLine="0" r:id="rId5">
            <anchor moveWithCells="1">
              <from>
                <xdr:col>15</xdr:col>
                <xdr:colOff>0</xdr:colOff>
                <xdr:row>5</xdr:row>
                <xdr:rowOff>161925</xdr:rowOff>
              </from>
              <to>
                <xdr:col>17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3075" r:id="rId4" name="Agregar_Gasto"/>
      </mc:Fallback>
    </mc:AlternateContent>
    <mc:AlternateContent xmlns:mc="http://schemas.openxmlformats.org/markup-compatibility/2006">
      <mc:Choice Requires="x14">
        <control shapeId="3074" r:id="rId6" name="AgregarIngreso">
          <controlPr defaultSize="0" autoLine="0" r:id="rId7">
            <anchor moveWithCells="1">
              <from>
                <xdr:col>15</xdr:col>
                <xdr:colOff>0</xdr:colOff>
                <xdr:row>3</xdr:row>
                <xdr:rowOff>0</xdr:rowOff>
              </from>
              <to>
                <xdr:col>17</xdr:col>
                <xdr:colOff>0</xdr:colOff>
                <xdr:row>5</xdr:row>
                <xdr:rowOff>28575</xdr:rowOff>
              </to>
            </anchor>
          </controlPr>
        </control>
      </mc:Choice>
      <mc:Fallback>
        <control shapeId="3074" r:id="rId6" name="AgregarIngreso"/>
      </mc:Fallback>
    </mc:AlternateContent>
    <mc:AlternateContent xmlns:mc="http://schemas.openxmlformats.org/markup-compatibility/2006">
      <mc:Choice Requires="x14">
        <control shapeId="3073" r:id="rId8" name="Configuracion">
          <controlPr defaultSize="0" autoLine="0" r:id="rId9">
            <anchor moveWithCells="1">
              <from>
                <xdr:col>15</xdr:col>
                <xdr:colOff>0</xdr:colOff>
                <xdr:row>11</xdr:row>
                <xdr:rowOff>161925</xdr:rowOff>
              </from>
              <to>
                <xdr:col>17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3073" r:id="rId8" name="Configuracion"/>
      </mc:Fallback>
    </mc:AlternateContent>
    <mc:AlternateContent xmlns:mc="http://schemas.openxmlformats.org/markup-compatibility/2006">
      <mc:Choice Requires="x14">
        <control shapeId="3076" r:id="rId10" name="CommandButton1">
          <controlPr defaultSize="0" autoLine="0" r:id="rId11">
            <anchor moveWithCells="1">
              <from>
                <xdr:col>15</xdr:col>
                <xdr:colOff>0</xdr:colOff>
                <xdr:row>8</xdr:row>
                <xdr:rowOff>161925</xdr:rowOff>
              </from>
              <to>
                <xdr:col>17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076" r:id="rId10" name="CommandButton1"/>
      </mc:Fallback>
    </mc:AlternateContent>
  </controls>
  <tableParts count="9"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88A98-E6EA-409A-9B17-099765997956}">
  <sheetPr codeName="Hoja1"/>
  <dimension ref="A1"/>
  <sheetViews>
    <sheetView workbookViewId="0">
      <selection activeCell="J15" sqref="J15"/>
    </sheetView>
  </sheetViews>
  <sheetFormatPr baseColWidth="10" defaultRowHeight="15" x14ac:dyDescent="0.25"/>
  <cols>
    <col min="1" max="9" width="11.42578125" style="25"/>
    <col min="10" max="10" width="4.42578125" style="25" customWidth="1"/>
    <col min="11" max="16384" width="11.42578125" style="25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A9BB1-B304-44E8-BA36-27E11EB47AF2}">
  <sheetPr codeName="Hoja3"/>
  <dimension ref="A1:AA44"/>
  <sheetViews>
    <sheetView tabSelected="1" topLeftCell="R1" workbookViewId="0">
      <selection activeCell="E7" sqref="E7"/>
    </sheetView>
  </sheetViews>
  <sheetFormatPr baseColWidth="10" defaultRowHeight="15" x14ac:dyDescent="0.25"/>
  <cols>
    <col min="1" max="1" width="11.28515625" bestFit="1" customWidth="1"/>
    <col min="2" max="2" width="11.7109375" bestFit="1" customWidth="1"/>
    <col min="3" max="3" width="17.28515625" bestFit="1" customWidth="1"/>
    <col min="4" max="4" width="14.7109375" bestFit="1" customWidth="1"/>
    <col min="5" max="5" width="10.7109375" bestFit="1" customWidth="1"/>
    <col min="6" max="6" width="19.7109375" bestFit="1" customWidth="1"/>
    <col min="7" max="7" width="90.42578125" bestFit="1" customWidth="1"/>
    <col min="8" max="8" width="7.7109375" bestFit="1" customWidth="1"/>
    <col min="9" max="9" width="13.140625" bestFit="1" customWidth="1"/>
    <col min="10" max="10" width="14.42578125" bestFit="1" customWidth="1"/>
    <col min="11" max="11" width="13.140625" customWidth="1"/>
    <col min="13" max="13" width="11.7109375" bestFit="1" customWidth="1"/>
    <col min="15" max="15" width="14.7109375" bestFit="1" customWidth="1"/>
    <col min="18" max="18" width="13.5703125" bestFit="1" customWidth="1"/>
    <col min="20" max="20" width="13.5703125" bestFit="1" customWidth="1"/>
    <col min="21" max="21" width="12.5703125" bestFit="1" customWidth="1"/>
    <col min="22" max="22" width="13.140625" bestFit="1" customWidth="1"/>
    <col min="25" max="25" width="14.5703125" customWidth="1"/>
    <col min="26" max="26" width="14" customWidth="1"/>
  </cols>
  <sheetData>
    <row r="1" spans="1:27" x14ac:dyDescent="0.25">
      <c r="A1" t="s">
        <v>21</v>
      </c>
      <c r="B1" t="s">
        <v>34</v>
      </c>
      <c r="C1" t="s">
        <v>22</v>
      </c>
      <c r="D1" t="s">
        <v>27</v>
      </c>
      <c r="E1" t="s">
        <v>25</v>
      </c>
      <c r="F1" t="s">
        <v>26</v>
      </c>
      <c r="G1" t="s">
        <v>23</v>
      </c>
      <c r="H1" t="s">
        <v>24</v>
      </c>
      <c r="I1" t="s">
        <v>51</v>
      </c>
      <c r="J1" t="s">
        <v>68</v>
      </c>
      <c r="L1" t="s">
        <v>21</v>
      </c>
      <c r="M1" t="s">
        <v>34</v>
      </c>
      <c r="N1" t="s">
        <v>22</v>
      </c>
      <c r="O1" t="s">
        <v>27</v>
      </c>
      <c r="P1" s="33" t="s">
        <v>25</v>
      </c>
      <c r="Q1" t="s">
        <v>26</v>
      </c>
      <c r="R1" t="s">
        <v>23</v>
      </c>
      <c r="S1" t="s">
        <v>24</v>
      </c>
      <c r="T1" t="s">
        <v>45</v>
      </c>
      <c r="U1" t="s">
        <v>46</v>
      </c>
      <c r="V1" t="s">
        <v>51</v>
      </c>
      <c r="X1" t="s">
        <v>21</v>
      </c>
      <c r="Y1" t="s">
        <v>63</v>
      </c>
      <c r="Z1" t="s">
        <v>53</v>
      </c>
      <c r="AA1" t="s">
        <v>14</v>
      </c>
    </row>
    <row r="2" spans="1:27" x14ac:dyDescent="0.25">
      <c r="A2" t="str">
        <f>TEXT(Gasto_Detalle[[#This Row],[Fecha]],"MMMM")</f>
        <v>enero</v>
      </c>
      <c r="B2" t="s">
        <v>38</v>
      </c>
      <c r="C2" t="s">
        <v>16</v>
      </c>
      <c r="D2" t="s">
        <v>17</v>
      </c>
      <c r="E2" s="2">
        <v>43831</v>
      </c>
      <c r="F2" t="s">
        <v>78</v>
      </c>
      <c r="G2" t="s">
        <v>33</v>
      </c>
      <c r="H2" s="3">
        <v>100</v>
      </c>
      <c r="I2" s="10">
        <v>0</v>
      </c>
      <c r="J2" s="1">
        <f>IFERROR(INDEX(Lista_Subcategorias_Gastos[Presupuesto],MATCH(Gasto_Detalle[[#This Row],[Subcategoria]],Lista_Subcategorias_Gastos[Subcategoria],0),1),"")</f>
        <v>100</v>
      </c>
      <c r="K2" s="10"/>
      <c r="L2" s="4" t="str">
        <f>TEXT(Ingreso_Detalle[[#This Row],[Fecha]],"MMMM")</f>
        <v>enero</v>
      </c>
      <c r="M2" t="s">
        <v>39</v>
      </c>
      <c r="N2" t="s">
        <v>35</v>
      </c>
      <c r="O2" t="s">
        <v>18</v>
      </c>
      <c r="P2" s="33">
        <v>43845</v>
      </c>
      <c r="Q2" t="s">
        <v>73</v>
      </c>
      <c r="S2" s="3">
        <v>1000</v>
      </c>
      <c r="T2" s="3">
        <f>IF(Ingreso_Detalle[[#This Row],[Categoria]]="Salario",Ingreso_Detalle[[#This Row],[Total]]*Tabla7[[#Totals],[Porcentaje]],0)</f>
        <v>102.51428572</v>
      </c>
      <c r="U2" s="3">
        <f>Ingreso_Detalle[[#This Row],[Total]]-Ingreso_Detalle[[#This Row],[Descuentos]]</f>
        <v>897.48571428000002</v>
      </c>
      <c r="V2">
        <v>1</v>
      </c>
      <c r="X2" t="s">
        <v>47</v>
      </c>
      <c r="Y2">
        <f>SUMIF(Ingreso_Detalle[Mes],Balances[[#This Row],[Mes]],Ingreso_Detalle[Total Neto])</f>
        <v>897.48571428000002</v>
      </c>
      <c r="Z2">
        <f>SUMIF(Gasto_Detalle[Mes],Balances[[#This Row],[Mes]],Gasto_Detalle[Total])*-1</f>
        <v>-218.29000000000002</v>
      </c>
      <c r="AA2">
        <f>Balances[[#This Row],[Total Ingreso]]+Balances[[#This Row],[Total Gastos]]</f>
        <v>679.19571427999995</v>
      </c>
    </row>
    <row r="3" spans="1:27" x14ac:dyDescent="0.25">
      <c r="A3" s="4" t="str">
        <f>TEXT(Gasto_Detalle[[#This Row],[Fecha]],"MMMM")</f>
        <v>enero</v>
      </c>
      <c r="B3" s="4" t="s">
        <v>38</v>
      </c>
      <c r="C3" t="s">
        <v>9</v>
      </c>
      <c r="D3" t="s">
        <v>13</v>
      </c>
      <c r="E3" s="2">
        <v>43832</v>
      </c>
      <c r="F3" t="s">
        <v>74</v>
      </c>
      <c r="H3" s="3">
        <v>16.989999999999998</v>
      </c>
      <c r="I3" s="10">
        <v>0</v>
      </c>
      <c r="J3" s="1">
        <f>INDEX(Lista_Subcategorias_Gastos[Presupuesto],MATCH(Gasto_Detalle[[#This Row],[Subcategoria]],Lista_Subcategorias_Gastos[Subcategoria],0),1)</f>
        <v>16.989999999999998</v>
      </c>
      <c r="K3" s="10"/>
      <c r="L3" s="4"/>
      <c r="P3" s="6"/>
      <c r="S3" s="3"/>
      <c r="T3" s="3"/>
      <c r="U3" s="3"/>
      <c r="X3" t="s">
        <v>48</v>
      </c>
      <c r="Y3">
        <f>SUMIF(Ingreso_Detalle[Mes],Balances[[#This Row],[Mes]],Ingreso_Detalle[Total Neto])</f>
        <v>0</v>
      </c>
      <c r="Z3">
        <f>SUMIF(Gasto_Detalle[Mes],Balances[[#This Row],[Mes]],Gasto_Detalle[Total])*-1</f>
        <v>0</v>
      </c>
      <c r="AA3">
        <f>Balances[[#This Row],[Total Ingreso]]+Balances[[#This Row],[Total Gastos]]</f>
        <v>0</v>
      </c>
    </row>
    <row r="4" spans="1:27" x14ac:dyDescent="0.25">
      <c r="A4" t="str">
        <f>TEXT(Gasto_Detalle[[#This Row],[Fecha]],"MMMM")</f>
        <v>enero</v>
      </c>
      <c r="B4" t="s">
        <v>38</v>
      </c>
      <c r="C4" t="s">
        <v>20</v>
      </c>
      <c r="D4" t="s">
        <v>31</v>
      </c>
      <c r="E4" s="2">
        <v>1</v>
      </c>
      <c r="F4" t="s">
        <v>77</v>
      </c>
      <c r="H4" s="3">
        <v>5</v>
      </c>
      <c r="I4" s="10">
        <v>0</v>
      </c>
      <c r="J4" s="1">
        <f>INDEX(Lista_Subcategorias_Gastos[Presupuesto],MATCH(Gasto_Detalle[[#This Row],[Subcategoria]],Lista_Subcategorias_Gastos[Subcategoria],0),1)</f>
        <v>100</v>
      </c>
      <c r="K4" s="10"/>
      <c r="L4" s="4"/>
      <c r="P4" s="6"/>
      <c r="S4" s="3"/>
      <c r="T4" s="3"/>
      <c r="U4" s="3"/>
      <c r="V4" s="3"/>
      <c r="X4" t="s">
        <v>49</v>
      </c>
      <c r="Y4">
        <f>SUMIF(Ingreso_Detalle[Mes],Balances[[#This Row],[Mes]],Ingreso_Detalle[Total Neto])</f>
        <v>0</v>
      </c>
      <c r="Z4">
        <f>SUMIF(Gasto_Detalle[Mes],Balances[[#This Row],[Mes]],Gasto_Detalle[Total])*-1</f>
        <v>0</v>
      </c>
      <c r="AA4">
        <f>Balances[[#This Row],[Total Ingreso]]+Balances[[#This Row],[Total Gastos]]</f>
        <v>0</v>
      </c>
    </row>
    <row r="5" spans="1:27" x14ac:dyDescent="0.25">
      <c r="A5" t="str">
        <f>TEXT(Gasto_Detalle[[#This Row],[Fecha]],"MMMM")</f>
        <v>enero</v>
      </c>
      <c r="B5" t="s">
        <v>38</v>
      </c>
      <c r="C5" t="s">
        <v>20</v>
      </c>
      <c r="D5" t="s">
        <v>31</v>
      </c>
      <c r="E5" s="2">
        <v>1</v>
      </c>
      <c r="F5" t="s">
        <v>76</v>
      </c>
      <c r="G5" t="s">
        <v>32</v>
      </c>
      <c r="H5" s="3">
        <v>15</v>
      </c>
      <c r="I5" s="10">
        <v>0</v>
      </c>
      <c r="J5" s="1">
        <f>INDEX(Lista_Subcategorias_Gastos[Presupuesto],MATCH(Gasto_Detalle[[#This Row],[Subcategoria]],Lista_Subcategorias_Gastos[Subcategoria],0),1)</f>
        <v>100</v>
      </c>
      <c r="K5" s="10"/>
      <c r="L5" s="4"/>
      <c r="P5" s="6"/>
      <c r="S5" s="3"/>
      <c r="T5" s="3"/>
      <c r="U5" s="3"/>
      <c r="X5" t="s">
        <v>0</v>
      </c>
      <c r="Y5">
        <f>SUMIF(Ingreso_Detalle[Mes],Balances[[#This Row],[Mes]],Ingreso_Detalle[Total Neto])</f>
        <v>0</v>
      </c>
      <c r="Z5">
        <f>SUMIF(Gasto_Detalle[Mes],Balances[[#This Row],[Mes]],Gasto_Detalle[Total])*-1</f>
        <v>0</v>
      </c>
      <c r="AA5">
        <f>Balances[[#This Row],[Total Ingreso]]+Balances[[#This Row],[Total Gastos]]</f>
        <v>0</v>
      </c>
    </row>
    <row r="6" spans="1:27" x14ac:dyDescent="0.25">
      <c r="A6" s="4" t="str">
        <f>TEXT(Gasto_Detalle[[#This Row],[Fecha]],"MMMM")</f>
        <v>enero</v>
      </c>
      <c r="B6" t="s">
        <v>38</v>
      </c>
      <c r="C6" t="s">
        <v>11</v>
      </c>
      <c r="D6" t="s">
        <v>19</v>
      </c>
      <c r="E6" s="2">
        <v>5</v>
      </c>
      <c r="F6" t="s">
        <v>19</v>
      </c>
      <c r="H6" s="3">
        <v>72.05</v>
      </c>
      <c r="I6" s="10">
        <v>0</v>
      </c>
      <c r="J6" s="1">
        <f>INDEX(Lista_Subcategorias_Gastos[Presupuesto],MATCH(Gasto_Detalle[[#This Row],[Subcategoria]],Lista_Subcategorias_Gastos[Subcategoria],0),1)</f>
        <v>150</v>
      </c>
      <c r="K6" s="10"/>
      <c r="L6" s="4"/>
      <c r="P6" s="6"/>
      <c r="S6" s="3"/>
      <c r="T6" s="3"/>
      <c r="U6" s="3"/>
      <c r="X6" t="s">
        <v>1</v>
      </c>
      <c r="Y6">
        <f>SUMIF(Ingreso_Detalle[Mes],Balances[[#This Row],[Mes]],Ingreso_Detalle[Total Neto])</f>
        <v>0</v>
      </c>
      <c r="Z6">
        <f>SUMIF(Gasto_Detalle[Mes],Balances[[#This Row],[Mes]],Gasto_Detalle[Total])*-1</f>
        <v>0</v>
      </c>
      <c r="AA6">
        <f>Balances[[#This Row],[Total Ingreso]]+Balances[[#This Row],[Total Gastos]]</f>
        <v>0</v>
      </c>
    </row>
    <row r="7" spans="1:27" x14ac:dyDescent="0.25">
      <c r="A7" t="str">
        <f>TEXT(Gasto_Detalle[[#This Row],[Fecha]],"MMMM")</f>
        <v>enero</v>
      </c>
      <c r="B7" t="s">
        <v>38</v>
      </c>
      <c r="C7" t="s">
        <v>20</v>
      </c>
      <c r="D7" t="s">
        <v>31</v>
      </c>
      <c r="E7" s="2">
        <v>43835</v>
      </c>
      <c r="F7" t="s">
        <v>75</v>
      </c>
      <c r="H7" s="3">
        <v>9.25</v>
      </c>
      <c r="I7" s="10">
        <v>0</v>
      </c>
      <c r="J7" s="1">
        <f>INDEX(Lista_Subcategorias_Gastos[Presupuesto],MATCH(Gasto_Detalle[[#This Row],[Subcategoria]],Lista_Subcategorias_Gastos[Subcategoria],0),1)</f>
        <v>100</v>
      </c>
      <c r="K7" s="10"/>
      <c r="L7" s="4"/>
      <c r="P7" s="6"/>
      <c r="S7" s="3"/>
      <c r="T7" s="3"/>
      <c r="U7" s="3"/>
      <c r="X7" t="s">
        <v>2</v>
      </c>
      <c r="Y7">
        <f>SUMIF(Ingreso_Detalle[Mes],Balances[[#This Row],[Mes]],Ingreso_Detalle[Total Neto])</f>
        <v>0</v>
      </c>
      <c r="Z7">
        <f>SUMIF(Gasto_Detalle[Mes],Balances[[#This Row],[Mes]],Gasto_Detalle[Total])*-1</f>
        <v>0</v>
      </c>
      <c r="AA7">
        <f>Balances[[#This Row],[Total Ingreso]]+Balances[[#This Row],[Total Gastos]]</f>
        <v>0</v>
      </c>
    </row>
    <row r="8" spans="1:27" x14ac:dyDescent="0.25">
      <c r="A8" s="4"/>
      <c r="B8" s="4"/>
      <c r="E8" s="5"/>
      <c r="H8" s="3"/>
      <c r="I8" s="3"/>
      <c r="J8" s="3"/>
      <c r="K8" s="10"/>
      <c r="L8" s="4"/>
      <c r="P8" s="6"/>
      <c r="S8" s="3"/>
      <c r="T8" s="3"/>
      <c r="U8" s="3"/>
      <c r="X8" t="s">
        <v>3</v>
      </c>
      <c r="Y8">
        <f>SUMIF(Ingreso_Detalle[Mes],Balances[[#This Row],[Mes]],Ingreso_Detalle[Total Neto])</f>
        <v>0</v>
      </c>
      <c r="Z8">
        <f>SUMIF(Gasto_Detalle[Mes],Balances[[#This Row],[Mes]],Gasto_Detalle[Total])*-1</f>
        <v>0</v>
      </c>
      <c r="AA8">
        <f>Balances[[#This Row],[Total Ingreso]]+Balances[[#This Row],[Total Gastos]]</f>
        <v>0</v>
      </c>
    </row>
    <row r="9" spans="1:27" x14ac:dyDescent="0.25">
      <c r="A9" s="4"/>
      <c r="B9" s="4"/>
      <c r="E9" s="5"/>
      <c r="H9" s="3"/>
      <c r="I9" s="3"/>
      <c r="J9" s="3"/>
      <c r="K9" s="10"/>
      <c r="L9" s="4"/>
      <c r="P9" s="6"/>
      <c r="S9" s="3"/>
      <c r="T9" s="3"/>
      <c r="U9" s="3"/>
      <c r="X9" t="s">
        <v>4</v>
      </c>
      <c r="Y9">
        <f>SUMIF(Ingreso_Detalle[Mes],Balances[[#This Row],[Mes]],Ingreso_Detalle[Total Neto])</f>
        <v>0</v>
      </c>
      <c r="Z9">
        <f>SUMIF(Gasto_Detalle[Mes],Balances[[#This Row],[Mes]],Gasto_Detalle[Total])*-1</f>
        <v>0</v>
      </c>
      <c r="AA9">
        <f>Balances[[#This Row],[Total Ingreso]]+Balances[[#This Row],[Total Gastos]]</f>
        <v>0</v>
      </c>
    </row>
    <row r="10" spans="1:27" x14ac:dyDescent="0.25">
      <c r="A10" s="4"/>
      <c r="B10" s="4"/>
      <c r="E10" s="5"/>
      <c r="H10" s="3"/>
      <c r="I10" s="3"/>
      <c r="J10" s="3"/>
      <c r="K10" s="10"/>
      <c r="L10" s="4"/>
      <c r="P10" s="6"/>
      <c r="S10" s="3"/>
      <c r="T10" s="3"/>
      <c r="U10" s="3"/>
      <c r="X10" t="s">
        <v>5</v>
      </c>
      <c r="Y10">
        <f>SUMIF(Ingreso_Detalle[Mes],Balances[[#This Row],[Mes]],Ingreso_Detalle[Total Neto])</f>
        <v>0</v>
      </c>
      <c r="Z10">
        <f>SUMIF(Gasto_Detalle[Mes],Balances[[#This Row],[Mes]],Gasto_Detalle[Total])*-1</f>
        <v>0</v>
      </c>
      <c r="AA10">
        <f>Balances[[#This Row],[Total Ingreso]]+Balances[[#This Row],[Total Gastos]]</f>
        <v>0</v>
      </c>
    </row>
    <row r="11" spans="1:27" x14ac:dyDescent="0.25">
      <c r="A11" s="4"/>
      <c r="B11" s="4"/>
      <c r="E11" s="5"/>
      <c r="H11" s="3"/>
      <c r="I11" s="3"/>
      <c r="J11" s="3"/>
      <c r="K11" s="10"/>
      <c r="L11" s="4"/>
      <c r="O11" s="2"/>
      <c r="P11" s="6"/>
      <c r="R11" s="3"/>
      <c r="S11" s="3"/>
      <c r="X11" t="s">
        <v>6</v>
      </c>
      <c r="Y11">
        <f>SUMIF(Ingreso_Detalle[Mes],Balances[[#This Row],[Mes]],Ingreso_Detalle[Total Neto])</f>
        <v>0</v>
      </c>
      <c r="Z11">
        <f>SUMIF(Gasto_Detalle[Mes],Balances[[#This Row],[Mes]],Gasto_Detalle[Total])*-1</f>
        <v>0</v>
      </c>
      <c r="AA11">
        <f>Balances[[#This Row],[Total Ingreso]]+Balances[[#This Row],[Total Gastos]]</f>
        <v>0</v>
      </c>
    </row>
    <row r="12" spans="1:27" x14ac:dyDescent="0.25">
      <c r="A12" s="4"/>
      <c r="B12" s="4"/>
      <c r="E12" s="5"/>
      <c r="H12" s="3"/>
      <c r="I12" s="3"/>
      <c r="J12" s="3"/>
      <c r="K12" s="10"/>
      <c r="L12" s="4"/>
      <c r="O12" s="2"/>
      <c r="P12" s="6"/>
      <c r="R12" s="3"/>
      <c r="S12" s="3"/>
      <c r="X12" t="s">
        <v>8</v>
      </c>
      <c r="Y12">
        <f>SUMIF(Ingreso_Detalle[Mes],Balances[[#This Row],[Mes]],Ingreso_Detalle[Total Neto])</f>
        <v>0</v>
      </c>
      <c r="Z12">
        <f>SUMIF(Gasto_Detalle[Mes],Balances[[#This Row],[Mes]],Gasto_Detalle[Total])*-1</f>
        <v>0</v>
      </c>
      <c r="AA12">
        <f>Balances[[#This Row],[Total Ingreso]]+Balances[[#This Row],[Total Gastos]]</f>
        <v>0</v>
      </c>
    </row>
    <row r="13" spans="1:27" x14ac:dyDescent="0.25">
      <c r="E13" s="2"/>
      <c r="K13" s="10"/>
      <c r="L13" s="4"/>
      <c r="O13" s="2"/>
      <c r="P13" s="6"/>
      <c r="R13" s="3"/>
      <c r="S13" s="3"/>
      <c r="X13" t="s">
        <v>7</v>
      </c>
      <c r="Y13">
        <f>SUMIF(Ingreso_Detalle[Mes],Balances[[#This Row],[Mes]],Ingreso_Detalle[Total Neto])</f>
        <v>0</v>
      </c>
      <c r="Z13">
        <f>SUMIF(Gasto_Detalle[Mes],Balances[[#This Row],[Mes]],Gasto_Detalle[Total])*-1</f>
        <v>0</v>
      </c>
      <c r="AA13">
        <f>Balances[[#This Row],[Total Ingreso]]+Balances[[#This Row],[Total Gastos]]</f>
        <v>0</v>
      </c>
    </row>
    <row r="14" spans="1:27" x14ac:dyDescent="0.25">
      <c r="K14" s="10"/>
      <c r="L14" s="4"/>
      <c r="O14" s="2"/>
      <c r="P14" s="6"/>
      <c r="R14" s="3"/>
      <c r="S14" s="3"/>
    </row>
    <row r="15" spans="1:27" x14ac:dyDescent="0.25">
      <c r="K15" s="10"/>
      <c r="L15" s="4"/>
      <c r="O15" s="2"/>
      <c r="P15" s="6"/>
      <c r="R15" s="3"/>
      <c r="S15" s="3"/>
    </row>
    <row r="16" spans="1:27" x14ac:dyDescent="0.25">
      <c r="K16" s="10"/>
      <c r="L16" s="4"/>
      <c r="O16" s="2"/>
      <c r="P16" s="6"/>
      <c r="R16" s="3"/>
      <c r="S16" s="3"/>
    </row>
    <row r="17" spans="11:19" x14ac:dyDescent="0.25">
      <c r="K17" s="10"/>
      <c r="L17" s="4"/>
      <c r="O17" s="2"/>
      <c r="P17" s="6"/>
      <c r="R17" s="3"/>
      <c r="S17" s="3"/>
    </row>
    <row r="18" spans="11:19" x14ac:dyDescent="0.25">
      <c r="K18" s="10"/>
      <c r="L18" s="4"/>
      <c r="O18" s="2"/>
      <c r="P18" s="6"/>
      <c r="R18" s="3"/>
      <c r="S18" s="3"/>
    </row>
    <row r="19" spans="11:19" x14ac:dyDescent="0.25">
      <c r="K19" s="10"/>
      <c r="L19" s="4"/>
      <c r="O19" s="2"/>
      <c r="P19" s="6"/>
      <c r="R19" s="3"/>
    </row>
    <row r="20" spans="11:19" x14ac:dyDescent="0.25">
      <c r="K20" s="10"/>
      <c r="L20" s="4"/>
      <c r="O20" s="2"/>
      <c r="P20" s="6"/>
      <c r="Q20" s="2"/>
      <c r="R20" s="3"/>
    </row>
    <row r="21" spans="11:19" x14ac:dyDescent="0.25">
      <c r="K21" s="10"/>
      <c r="L21" s="4"/>
      <c r="P21" s="6"/>
      <c r="S21" s="3"/>
    </row>
    <row r="22" spans="11:19" x14ac:dyDescent="0.25">
      <c r="K22" s="10"/>
      <c r="L22" s="4"/>
      <c r="P22" s="6"/>
      <c r="Q22" s="2"/>
      <c r="S22" s="3"/>
    </row>
    <row r="23" spans="11:19" x14ac:dyDescent="0.25">
      <c r="K23" s="10"/>
      <c r="L23" s="4"/>
      <c r="P23" s="6"/>
      <c r="S23" s="3"/>
    </row>
    <row r="24" spans="11:19" x14ac:dyDescent="0.25">
      <c r="K24" s="10"/>
      <c r="L24" s="4"/>
      <c r="P24" s="6"/>
      <c r="Q24" s="2"/>
      <c r="S24" s="3"/>
    </row>
    <row r="25" spans="11:19" x14ac:dyDescent="0.25">
      <c r="K25" s="10"/>
      <c r="L25" s="4"/>
      <c r="P25" s="6"/>
      <c r="S25" s="3"/>
    </row>
    <row r="26" spans="11:19" x14ac:dyDescent="0.25">
      <c r="K26" s="10"/>
      <c r="L26" s="4"/>
      <c r="P26" s="6"/>
      <c r="Q26" s="2"/>
      <c r="S26" s="3"/>
    </row>
    <row r="27" spans="11:19" x14ac:dyDescent="0.25">
      <c r="K27" s="10"/>
      <c r="L27" s="4"/>
      <c r="P27" s="6"/>
      <c r="S27" s="3"/>
    </row>
    <row r="28" spans="11:19" x14ac:dyDescent="0.25">
      <c r="K28" s="10"/>
      <c r="L28" s="4"/>
      <c r="P28" s="6"/>
      <c r="S28" s="3"/>
    </row>
    <row r="29" spans="11:19" x14ac:dyDescent="0.25">
      <c r="K29" s="10"/>
      <c r="L29" s="4"/>
      <c r="P29" s="6"/>
      <c r="Q29" s="2"/>
      <c r="S29" s="3"/>
    </row>
    <row r="30" spans="11:19" x14ac:dyDescent="0.25">
      <c r="K30" s="10"/>
      <c r="L30" s="4"/>
      <c r="P30" s="6"/>
      <c r="S30" s="3"/>
    </row>
    <row r="31" spans="11:19" x14ac:dyDescent="0.25">
      <c r="K31" s="10"/>
      <c r="L31" s="4"/>
      <c r="P31" s="6"/>
      <c r="Q31" s="2"/>
      <c r="S31" s="3"/>
    </row>
    <row r="32" spans="11:19" x14ac:dyDescent="0.25">
      <c r="K32" s="10"/>
      <c r="L32" s="4"/>
      <c r="P32" s="6"/>
      <c r="S32" s="3"/>
    </row>
    <row r="33" spans="11:19" x14ac:dyDescent="0.25">
      <c r="K33" s="10"/>
      <c r="L33" s="4"/>
      <c r="P33" s="6"/>
      <c r="Q33" s="2"/>
      <c r="S33" s="3"/>
    </row>
    <row r="34" spans="11:19" x14ac:dyDescent="0.25">
      <c r="K34" s="10"/>
      <c r="L34" s="4"/>
      <c r="P34" s="6"/>
      <c r="S34" s="3"/>
    </row>
    <row r="35" spans="11:19" x14ac:dyDescent="0.25">
      <c r="K35" s="10"/>
      <c r="P35" s="6"/>
      <c r="S35" s="3"/>
    </row>
    <row r="36" spans="11:19" x14ac:dyDescent="0.25">
      <c r="K36" s="3"/>
      <c r="P36" s="6"/>
      <c r="S36" s="3"/>
    </row>
    <row r="37" spans="11:19" x14ac:dyDescent="0.25">
      <c r="K37" s="3"/>
      <c r="P37" s="6"/>
      <c r="S37" s="3"/>
    </row>
    <row r="38" spans="11:19" x14ac:dyDescent="0.25">
      <c r="K38" s="3"/>
      <c r="P38" s="6"/>
      <c r="S38" s="3"/>
    </row>
    <row r="39" spans="11:19" x14ac:dyDescent="0.25">
      <c r="K39" s="3"/>
      <c r="P39" s="6"/>
      <c r="S39" s="3"/>
    </row>
    <row r="40" spans="11:19" x14ac:dyDescent="0.25">
      <c r="K40" s="3"/>
    </row>
    <row r="41" spans="11:19" x14ac:dyDescent="0.25">
      <c r="K41" s="3"/>
    </row>
    <row r="42" spans="11:19" x14ac:dyDescent="0.25">
      <c r="K42" s="3"/>
    </row>
    <row r="43" spans="11:19" x14ac:dyDescent="0.25">
      <c r="K43" s="3"/>
    </row>
    <row r="44" spans="11:19" x14ac:dyDescent="0.25">
      <c r="K44" s="3"/>
    </row>
  </sheetData>
  <phoneticPr fontId="6" type="noConversion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A517F-9BA0-45B1-857B-50B78912AD30}">
  <sheetPr codeName="Hoja4"/>
  <dimension ref="A1:N21"/>
  <sheetViews>
    <sheetView workbookViewId="0">
      <selection activeCell="D33" sqref="D33"/>
    </sheetView>
  </sheetViews>
  <sheetFormatPr baseColWidth="10" defaultRowHeight="15" x14ac:dyDescent="0.25"/>
  <cols>
    <col min="1" max="1" width="17.5703125" bestFit="1" customWidth="1"/>
    <col min="2" max="2" width="13.42578125" bestFit="1" customWidth="1"/>
    <col min="4" max="4" width="17.5703125" bestFit="1" customWidth="1"/>
    <col min="5" max="6" width="13.42578125" bestFit="1" customWidth="1"/>
    <col min="7" max="7" width="24.28515625" customWidth="1"/>
    <col min="8" max="8" width="19.5703125" bestFit="1" customWidth="1"/>
    <col min="9" max="9" width="13.42578125" bestFit="1" customWidth="1"/>
    <col min="11" max="11" width="17.5703125" bestFit="1" customWidth="1"/>
    <col min="12" max="12" width="20.5703125" bestFit="1" customWidth="1"/>
    <col min="13" max="13" width="20" bestFit="1" customWidth="1"/>
    <col min="14" max="14" width="15.85546875" bestFit="1" customWidth="1"/>
  </cols>
  <sheetData>
    <row r="1" spans="1:14" x14ac:dyDescent="0.25">
      <c r="A1" s="18" t="s">
        <v>21</v>
      </c>
      <c r="B1" t="s">
        <v>79</v>
      </c>
      <c r="D1" s="18" t="s">
        <v>21</v>
      </c>
      <c r="E1" t="s">
        <v>79</v>
      </c>
      <c r="K1" s="18" t="s">
        <v>63</v>
      </c>
      <c r="L1" s="19">
        <v>0</v>
      </c>
    </row>
    <row r="2" spans="1:14" x14ac:dyDescent="0.25">
      <c r="H2" s="18" t="s">
        <v>21</v>
      </c>
      <c r="I2" t="s">
        <v>79</v>
      </c>
    </row>
    <row r="3" spans="1:14" x14ac:dyDescent="0.25">
      <c r="A3" s="18" t="s">
        <v>55</v>
      </c>
      <c r="B3" t="s">
        <v>57</v>
      </c>
      <c r="D3" s="18" t="s">
        <v>55</v>
      </c>
      <c r="E3" t="s">
        <v>57</v>
      </c>
      <c r="K3" s="18" t="s">
        <v>55</v>
      </c>
      <c r="L3" t="s">
        <v>65</v>
      </c>
      <c r="M3" t="s">
        <v>64</v>
      </c>
      <c r="N3" t="s">
        <v>66</v>
      </c>
    </row>
    <row r="4" spans="1:14" x14ac:dyDescent="0.25">
      <c r="A4" s="19" t="s">
        <v>11</v>
      </c>
      <c r="B4" s="20">
        <v>72.05</v>
      </c>
      <c r="D4" s="19" t="s">
        <v>17</v>
      </c>
      <c r="E4" s="20">
        <v>100</v>
      </c>
      <c r="H4" s="18" t="s">
        <v>55</v>
      </c>
      <c r="I4" t="s">
        <v>57</v>
      </c>
      <c r="K4" s="19" t="s">
        <v>48</v>
      </c>
      <c r="L4" s="20">
        <v>0</v>
      </c>
      <c r="M4" s="20">
        <v>0</v>
      </c>
      <c r="N4" s="20">
        <v>0</v>
      </c>
    </row>
    <row r="5" spans="1:14" x14ac:dyDescent="0.25">
      <c r="A5" s="19" t="s">
        <v>20</v>
      </c>
      <c r="B5" s="20">
        <v>29.25</v>
      </c>
      <c r="D5" s="19" t="s">
        <v>19</v>
      </c>
      <c r="E5" s="20">
        <v>72.05</v>
      </c>
      <c r="H5" s="19" t="s">
        <v>78</v>
      </c>
      <c r="I5" s="20">
        <v>100</v>
      </c>
      <c r="K5" s="19" t="s">
        <v>49</v>
      </c>
      <c r="L5" s="20">
        <v>0</v>
      </c>
      <c r="M5" s="20">
        <v>0</v>
      </c>
      <c r="N5" s="20">
        <v>0</v>
      </c>
    </row>
    <row r="6" spans="1:14" x14ac:dyDescent="0.25">
      <c r="A6" s="19" t="s">
        <v>16</v>
      </c>
      <c r="B6" s="20">
        <v>100</v>
      </c>
      <c r="D6" s="19" t="s">
        <v>31</v>
      </c>
      <c r="E6" s="20">
        <v>29.25</v>
      </c>
      <c r="H6" s="19" t="s">
        <v>19</v>
      </c>
      <c r="I6" s="20">
        <v>72.05</v>
      </c>
      <c r="K6" s="19" t="s">
        <v>0</v>
      </c>
      <c r="L6" s="20">
        <v>0</v>
      </c>
      <c r="M6" s="20">
        <v>0</v>
      </c>
      <c r="N6" s="20">
        <v>0</v>
      </c>
    </row>
    <row r="7" spans="1:14" x14ac:dyDescent="0.25">
      <c r="A7" s="19" t="s">
        <v>9</v>
      </c>
      <c r="B7" s="20">
        <v>16.989999999999998</v>
      </c>
      <c r="D7" s="19" t="s">
        <v>13</v>
      </c>
      <c r="E7" s="4">
        <v>16.989999999999998</v>
      </c>
      <c r="H7" s="19" t="s">
        <v>74</v>
      </c>
      <c r="I7" s="20">
        <v>16.989999999999998</v>
      </c>
      <c r="K7" s="19" t="s">
        <v>1</v>
      </c>
      <c r="L7" s="20">
        <v>0</v>
      </c>
      <c r="M7" s="20">
        <v>0</v>
      </c>
      <c r="N7" s="20">
        <v>0</v>
      </c>
    </row>
    <row r="8" spans="1:14" x14ac:dyDescent="0.25">
      <c r="A8" s="19" t="s">
        <v>56</v>
      </c>
      <c r="B8" s="20">
        <v>218.29000000000002</v>
      </c>
      <c r="D8" s="19" t="s">
        <v>56</v>
      </c>
      <c r="E8" s="20">
        <v>218.29000000000002</v>
      </c>
      <c r="H8" s="19" t="s">
        <v>76</v>
      </c>
      <c r="I8" s="20">
        <v>15</v>
      </c>
      <c r="K8" s="19" t="s">
        <v>2</v>
      </c>
      <c r="L8" s="20">
        <v>0</v>
      </c>
      <c r="M8" s="20">
        <v>0</v>
      </c>
      <c r="N8" s="20">
        <v>0</v>
      </c>
    </row>
    <row r="9" spans="1:14" x14ac:dyDescent="0.25">
      <c r="H9" s="19" t="s">
        <v>75</v>
      </c>
      <c r="I9" s="20">
        <v>9.25</v>
      </c>
      <c r="K9" s="19" t="s">
        <v>3</v>
      </c>
      <c r="L9" s="20">
        <v>0</v>
      </c>
      <c r="M9" s="20">
        <v>0</v>
      </c>
      <c r="N9" s="20">
        <v>0</v>
      </c>
    </row>
    <row r="10" spans="1:14" x14ac:dyDescent="0.25">
      <c r="H10" s="19" t="s">
        <v>77</v>
      </c>
      <c r="I10" s="20">
        <v>5</v>
      </c>
      <c r="K10" s="19" t="s">
        <v>4</v>
      </c>
      <c r="L10" s="20">
        <v>0</v>
      </c>
      <c r="M10" s="20">
        <v>0</v>
      </c>
      <c r="N10" s="20">
        <v>0</v>
      </c>
    </row>
    <row r="11" spans="1:14" x14ac:dyDescent="0.25">
      <c r="H11" s="19" t="s">
        <v>56</v>
      </c>
      <c r="I11" s="20">
        <v>218.29</v>
      </c>
      <c r="K11" s="19" t="s">
        <v>5</v>
      </c>
      <c r="L11" s="20">
        <v>0</v>
      </c>
      <c r="M11" s="20">
        <v>0</v>
      </c>
      <c r="N11" s="20">
        <v>0</v>
      </c>
    </row>
    <row r="12" spans="1:14" x14ac:dyDescent="0.25">
      <c r="D12" s="18" t="s">
        <v>21</v>
      </c>
      <c r="E12" t="s">
        <v>79</v>
      </c>
      <c r="K12" s="19" t="s">
        <v>6</v>
      </c>
      <c r="L12" s="20">
        <v>0</v>
      </c>
      <c r="M12" s="20">
        <v>0</v>
      </c>
      <c r="N12" s="20">
        <v>0</v>
      </c>
    </row>
    <row r="13" spans="1:14" x14ac:dyDescent="0.25">
      <c r="D13" s="18" t="s">
        <v>68</v>
      </c>
      <c r="E13" t="s">
        <v>70</v>
      </c>
      <c r="K13" s="19" t="s">
        <v>8</v>
      </c>
      <c r="L13" s="20">
        <v>0</v>
      </c>
      <c r="M13" s="20">
        <v>0</v>
      </c>
      <c r="N13" s="20">
        <v>0</v>
      </c>
    </row>
    <row r="14" spans="1:14" x14ac:dyDescent="0.25">
      <c r="K14" s="19" t="s">
        <v>7</v>
      </c>
      <c r="L14" s="20">
        <v>0</v>
      </c>
      <c r="M14" s="20">
        <v>0</v>
      </c>
      <c r="N14" s="20">
        <v>0</v>
      </c>
    </row>
    <row r="15" spans="1:14" x14ac:dyDescent="0.25">
      <c r="D15" s="18" t="s">
        <v>55</v>
      </c>
      <c r="E15" t="s">
        <v>69</v>
      </c>
      <c r="F15" t="s">
        <v>57</v>
      </c>
      <c r="K15" s="19" t="s">
        <v>56</v>
      </c>
      <c r="L15" s="20">
        <v>0</v>
      </c>
      <c r="M15" s="20">
        <v>0</v>
      </c>
      <c r="N15" s="20">
        <v>0</v>
      </c>
    </row>
    <row r="16" spans="1:14" x14ac:dyDescent="0.25">
      <c r="D16" s="19" t="s">
        <v>17</v>
      </c>
      <c r="E16" s="20">
        <v>100</v>
      </c>
      <c r="F16" s="20">
        <v>100</v>
      </c>
      <c r="G16" s="20"/>
    </row>
    <row r="17" spans="4:7" x14ac:dyDescent="0.25">
      <c r="D17" s="19" t="s">
        <v>31</v>
      </c>
      <c r="E17" s="20">
        <v>100</v>
      </c>
      <c r="F17" s="20">
        <v>29.25</v>
      </c>
      <c r="G17" s="20"/>
    </row>
    <row r="18" spans="4:7" x14ac:dyDescent="0.25">
      <c r="D18" s="19" t="s">
        <v>13</v>
      </c>
      <c r="E18" s="20">
        <v>16.989999999999998</v>
      </c>
      <c r="F18" s="20">
        <v>16.989999999999998</v>
      </c>
      <c r="G18" s="20"/>
    </row>
    <row r="19" spans="4:7" x14ac:dyDescent="0.25">
      <c r="D19" s="19" t="s">
        <v>56</v>
      </c>
      <c r="E19" s="4">
        <v>83.397999999999996</v>
      </c>
      <c r="F19" s="4">
        <v>146.24</v>
      </c>
      <c r="G19" s="20"/>
    </row>
    <row r="20" spans="4:7" x14ac:dyDescent="0.25">
      <c r="G20" s="20"/>
    </row>
    <row r="21" spans="4:7" x14ac:dyDescent="0.25">
      <c r="G21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73F27-1682-4E84-857D-4FDC4C38CBB9}">
  <sheetPr codeName="Hoja2"/>
  <dimension ref="A1:M9"/>
  <sheetViews>
    <sheetView workbookViewId="0">
      <selection activeCell="E25" sqref="E25"/>
    </sheetView>
  </sheetViews>
  <sheetFormatPr baseColWidth="10" defaultRowHeight="15" x14ac:dyDescent="0.25"/>
  <cols>
    <col min="3" max="3" width="11.5703125" customWidth="1"/>
    <col min="4" max="4" width="20" bestFit="1" customWidth="1"/>
    <col min="6" max="6" width="17.28515625" bestFit="1" customWidth="1"/>
    <col min="8" max="8" width="22.42578125" bestFit="1" customWidth="1"/>
    <col min="9" max="9" width="14.7109375" bestFit="1" customWidth="1"/>
    <col min="10" max="10" width="14.7109375" customWidth="1"/>
    <col min="12" max="12" width="22.7109375" bestFit="1" customWidth="1"/>
    <col min="13" max="13" width="12.85546875" bestFit="1" customWidth="1"/>
  </cols>
  <sheetData>
    <row r="1" spans="1:13" x14ac:dyDescent="0.25">
      <c r="A1" t="s">
        <v>22</v>
      </c>
      <c r="C1" t="s">
        <v>22</v>
      </c>
      <c r="D1" t="s">
        <v>27</v>
      </c>
      <c r="F1" t="s">
        <v>22</v>
      </c>
      <c r="H1" t="s">
        <v>22</v>
      </c>
      <c r="I1" t="s">
        <v>27</v>
      </c>
      <c r="J1" t="s">
        <v>68</v>
      </c>
      <c r="L1" t="s">
        <v>42</v>
      </c>
      <c r="M1" t="s">
        <v>40</v>
      </c>
    </row>
    <row r="2" spans="1:13" x14ac:dyDescent="0.25">
      <c r="A2" t="s">
        <v>35</v>
      </c>
      <c r="C2" t="s">
        <v>35</v>
      </c>
      <c r="D2" t="s">
        <v>36</v>
      </c>
      <c r="F2" t="s">
        <v>20</v>
      </c>
      <c r="H2" t="s">
        <v>20</v>
      </c>
      <c r="I2" t="s">
        <v>28</v>
      </c>
      <c r="J2" s="1">
        <v>30</v>
      </c>
      <c r="L2" t="s">
        <v>43</v>
      </c>
      <c r="M2" s="7">
        <v>0</v>
      </c>
    </row>
    <row r="3" spans="1:13" x14ac:dyDescent="0.25">
      <c r="A3" t="s">
        <v>15</v>
      </c>
      <c r="C3" t="s">
        <v>35</v>
      </c>
      <c r="D3" t="s">
        <v>18</v>
      </c>
      <c r="F3" t="s">
        <v>9</v>
      </c>
      <c r="H3" t="s">
        <v>9</v>
      </c>
      <c r="I3" t="s">
        <v>10</v>
      </c>
      <c r="J3" s="1"/>
      <c r="L3" t="s">
        <v>41</v>
      </c>
      <c r="M3" s="7">
        <v>3.0019047619999999E-2</v>
      </c>
    </row>
    <row r="4" spans="1:13" x14ac:dyDescent="0.25">
      <c r="A4" t="s">
        <v>16</v>
      </c>
      <c r="C4" t="s">
        <v>15</v>
      </c>
      <c r="D4" t="s">
        <v>37</v>
      </c>
      <c r="F4" t="s">
        <v>29</v>
      </c>
      <c r="H4" t="s">
        <v>20</v>
      </c>
      <c r="I4" t="s">
        <v>31</v>
      </c>
      <c r="J4" s="1">
        <v>100</v>
      </c>
      <c r="L4" t="s">
        <v>44</v>
      </c>
      <c r="M4" s="7">
        <v>7.2495238099999998E-2</v>
      </c>
    </row>
    <row r="5" spans="1:13" x14ac:dyDescent="0.25">
      <c r="C5" t="s">
        <v>16</v>
      </c>
      <c r="D5" t="s">
        <v>50</v>
      </c>
      <c r="F5" t="s">
        <v>16</v>
      </c>
      <c r="H5" t="s">
        <v>16</v>
      </c>
      <c r="I5" t="s">
        <v>17</v>
      </c>
      <c r="J5" s="1">
        <v>100</v>
      </c>
      <c r="L5" t="s">
        <v>24</v>
      </c>
      <c r="M5" s="8">
        <f>SUBTOTAL(109,Tabla7[Porcentaje])</f>
        <v>0.10251428572</v>
      </c>
    </row>
    <row r="6" spans="1:13" x14ac:dyDescent="0.25">
      <c r="F6" t="s">
        <v>11</v>
      </c>
      <c r="H6" t="s">
        <v>9</v>
      </c>
      <c r="I6" t="s">
        <v>13</v>
      </c>
      <c r="J6" s="1">
        <v>16.989999999999998</v>
      </c>
    </row>
    <row r="7" spans="1:13" x14ac:dyDescent="0.25">
      <c r="F7" t="s">
        <v>58</v>
      </c>
      <c r="H7" t="s">
        <v>11</v>
      </c>
      <c r="I7" t="s">
        <v>19</v>
      </c>
      <c r="J7" s="1">
        <v>150</v>
      </c>
    </row>
    <row r="8" spans="1:13" x14ac:dyDescent="0.25">
      <c r="H8" t="s">
        <v>58</v>
      </c>
      <c r="I8" t="s">
        <v>59</v>
      </c>
      <c r="J8" s="1">
        <v>40</v>
      </c>
    </row>
    <row r="9" spans="1:13" x14ac:dyDescent="0.25">
      <c r="H9" t="s">
        <v>16</v>
      </c>
      <c r="I9" t="s">
        <v>67</v>
      </c>
      <c r="J9" s="1"/>
    </row>
  </sheetData>
  <dataConsolidate link="1"/>
  <pageMargins left="0.7" right="0.7" top="0.75" bottom="0.75" header="0.3" footer="0.3"/>
  <pageSetup orientation="portrait" horizontalDpi="4294967293" verticalDpi="0" r:id="rId1"/>
  <tableParts count="5"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96AE855C-E342-40B2-A247-0F1680E14F73}">
  <ds:schemaRefs/>
</ds:datastoreItem>
</file>

<file path=customXml/itemProps2.xml><?xml version="1.0" encoding="utf-8"?>
<ds:datastoreItem xmlns:ds="http://schemas.openxmlformats.org/officeDocument/2006/customXml" ds:itemID="{5897DDD4-2585-45A9-AE22-3A797BB538F5}">
  <ds:schemaRefs/>
</ds:datastoreItem>
</file>

<file path=customXml/itemProps3.xml><?xml version="1.0" encoding="utf-8"?>
<ds:datastoreItem xmlns:ds="http://schemas.openxmlformats.org/officeDocument/2006/customXml" ds:itemID="{CDADF921-AA65-4520-BC74-DC45B301CFAE}">
  <ds:schemaRefs/>
</ds:datastoreItem>
</file>

<file path=customXml/itemProps4.xml><?xml version="1.0" encoding="utf-8"?>
<ds:datastoreItem xmlns:ds="http://schemas.openxmlformats.org/officeDocument/2006/customXml" ds:itemID="{12550EAB-3ECC-4423-8278-D56C6E12380C}">
  <ds:schemaRefs/>
</ds:datastoreItem>
</file>

<file path=customXml/itemProps5.xml><?xml version="1.0" encoding="utf-8"?>
<ds:datastoreItem xmlns:ds="http://schemas.openxmlformats.org/officeDocument/2006/customXml" ds:itemID="{9261DC63-0651-4324-8341-64869247C9B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Resumen</vt:lpstr>
      <vt:lpstr>Dashboard</vt:lpstr>
      <vt:lpstr>Data</vt:lpstr>
      <vt:lpstr>Pivot</vt:lpstr>
      <vt:lpstr>Lista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Abraham Mena Velasquez</dc:creator>
  <cp:lastModifiedBy>Jose Abraham Mena Velasquez</cp:lastModifiedBy>
  <dcterms:created xsi:type="dcterms:W3CDTF">2020-03-14T20:19:08Z</dcterms:created>
  <dcterms:modified xsi:type="dcterms:W3CDTF">2020-04-22T03:13:51Z</dcterms:modified>
</cp:coreProperties>
</file>